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hidePivotFieldList="1" defaultThemeVersion="202300"/>
  <mc:AlternateContent xmlns:mc="http://schemas.openxmlformats.org/markup-compatibility/2006">
    <mc:Choice Requires="x15">
      <x15ac:absPath xmlns:x15ac="http://schemas.microsoft.com/office/spreadsheetml/2010/11/ac" url="https://d.docs.live.net/57EC5C83612D769B/Financial Dashboard Project/"/>
    </mc:Choice>
  </mc:AlternateContent>
  <xr:revisionPtr revIDLastSave="1506" documentId="8_{4460289F-380A-4E48-ABE6-687D1D81CF3B}" xr6:coauthVersionLast="47" xr6:coauthVersionMax="47" xr10:uidLastSave="{F3ADA67C-F909-4C49-A7EB-7758718E0E02}"/>
  <bookViews>
    <workbookView xWindow="0" yWindow="660" windowWidth="30240" windowHeight="18980" activeTab="2" xr2:uid="{8069750D-FB8E-0D46-B113-E920D174D099}"/>
  </bookViews>
  <sheets>
    <sheet name="Transactions" sheetId="1" r:id="rId1"/>
    <sheet name="Asset_Info" sheetId="2" r:id="rId2"/>
    <sheet name="Prices" sheetId="3" r:id="rId3"/>
    <sheet name="Stock_Data" sheetId="9" r:id="rId4"/>
    <sheet name="Holdings" sheetId="4" r:id="rId5"/>
    <sheet name="Checks" sheetId="7" r:id="rId6"/>
    <sheet name="Pivot_Summary" sheetId="5" r:id="rId7"/>
    <sheet name="Dashboard" sheetId="6" r:id="rId8"/>
  </sheets>
  <calcPr calcId="191029"/>
  <pivotCaches>
    <pivotCache cacheId="328" r:id="rId9"/>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 i="7" l="1"/>
  <c r="B4" i="7"/>
  <c r="B5" i="7"/>
  <c r="B6" i="7"/>
  <c r="B7" i="7"/>
  <c r="B8" i="7"/>
  <c r="B9" i="7"/>
  <c r="B10" i="7"/>
  <c r="B11" i="7"/>
  <c r="B12" i="7"/>
  <c r="B13" i="7"/>
  <c r="B14" i="7"/>
  <c r="B15" i="7"/>
  <c r="B16" i="7"/>
  <c r="B17" i="7"/>
  <c r="B18" i="7"/>
  <c r="B19" i="7"/>
  <c r="B20" i="7"/>
  <c r="B21" i="7"/>
  <c r="B22" i="7"/>
  <c r="B23" i="7"/>
  <c r="B24" i="7"/>
  <c r="B25" i="7"/>
  <c r="B26" i="7"/>
  <c r="B27" i="7"/>
  <c r="B28" i="7"/>
  <c r="B29" i="7"/>
  <c r="B30" i="7"/>
  <c r="B31" i="7"/>
  <c r="B32" i="7"/>
  <c r="B33" i="7"/>
  <c r="B34" i="7"/>
  <c r="B35" i="7"/>
  <c r="B36" i="7"/>
  <c r="B37" i="7"/>
  <c r="B38" i="7"/>
  <c r="B39" i="7"/>
  <c r="B40" i="7"/>
  <c r="B41" i="7"/>
  <c r="B42" i="7"/>
  <c r="B43" i="7"/>
  <c r="B44" i="7"/>
  <c r="B45" i="7"/>
  <c r="B46" i="7"/>
  <c r="B47" i="7"/>
  <c r="B48" i="7"/>
  <c r="B49" i="7"/>
  <c r="B50" i="7"/>
  <c r="B51" i="7"/>
  <c r="B52" i="7"/>
  <c r="B53" i="7"/>
  <c r="B54" i="7"/>
  <c r="B55" i="7"/>
  <c r="B56" i="7"/>
  <c r="B57" i="7"/>
  <c r="B58" i="7"/>
  <c r="B59" i="7"/>
  <c r="B60" i="7"/>
  <c r="B61" i="7"/>
  <c r="B62" i="7"/>
  <c r="B63" i="7"/>
  <c r="B64" i="7"/>
  <c r="B65" i="7"/>
  <c r="B66" i="7"/>
  <c r="B67" i="7"/>
  <c r="B68" i="7"/>
  <c r="B69" i="7"/>
  <c r="B70" i="7"/>
  <c r="B71" i="7"/>
  <c r="B72" i="7"/>
  <c r="B73" i="7"/>
  <c r="B74" i="7"/>
  <c r="B75" i="7"/>
  <c r="B76" i="7"/>
  <c r="B77" i="7"/>
  <c r="B78" i="7"/>
  <c r="B79" i="7"/>
  <c r="B80" i="7"/>
  <c r="B81" i="7"/>
  <c r="B82" i="7"/>
  <c r="B83" i="7"/>
  <c r="B84" i="7"/>
  <c r="B85" i="7"/>
  <c r="B86" i="7"/>
  <c r="B87" i="7"/>
  <c r="B88" i="7"/>
  <c r="B89" i="7"/>
  <c r="B90" i="7"/>
  <c r="B91" i="7"/>
  <c r="B92" i="7"/>
  <c r="B93" i="7"/>
  <c r="B94" i="7"/>
  <c r="B95" i="7"/>
  <c r="B96" i="7"/>
  <c r="B97" i="7"/>
  <c r="B98" i="7"/>
  <c r="B99" i="7"/>
  <c r="B100" i="7"/>
  <c r="B2" i="7"/>
  <c r="E100" i="4"/>
  <c r="E3" i="4"/>
  <c r="E4" i="4"/>
  <c r="E5" i="4"/>
  <c r="E6" i="4"/>
  <c r="E7" i="4"/>
  <c r="E8" i="4"/>
  <c r="E9" i="4"/>
  <c r="E10" i="4"/>
  <c r="E11" i="4"/>
  <c r="E12" i="4"/>
  <c r="E13" i="4"/>
  <c r="E14" i="4"/>
  <c r="E15" i="4"/>
  <c r="E16" i="4"/>
  <c r="E17" i="4"/>
  <c r="E18" i="4"/>
  <c r="E19" i="4"/>
  <c r="E20" i="4"/>
  <c r="E21" i="4"/>
  <c r="E22" i="4"/>
  <c r="E23" i="4"/>
  <c r="E24" i="4"/>
  <c r="E25" i="4"/>
  <c r="E26" i="4"/>
  <c r="E27" i="4"/>
  <c r="E28" i="4"/>
  <c r="E29" i="4"/>
  <c r="E30" i="4"/>
  <c r="E31" i="4"/>
  <c r="E32" i="4"/>
  <c r="E33" i="4"/>
  <c r="E34" i="4"/>
  <c r="E35" i="4"/>
  <c r="E36" i="4"/>
  <c r="E37" i="4"/>
  <c r="E38" i="4"/>
  <c r="E39" i="4"/>
  <c r="E40" i="4"/>
  <c r="E41" i="4"/>
  <c r="E42" i="4"/>
  <c r="E43" i="4"/>
  <c r="E44" i="4"/>
  <c r="E45" i="4"/>
  <c r="E46" i="4"/>
  <c r="E47" i="4"/>
  <c r="E48" i="4"/>
  <c r="E49" i="4"/>
  <c r="E50" i="4"/>
  <c r="E51" i="4"/>
  <c r="E52" i="4"/>
  <c r="E53" i="4"/>
  <c r="E54" i="4"/>
  <c r="E55" i="4"/>
  <c r="E56" i="4"/>
  <c r="E57" i="4"/>
  <c r="E58" i="4"/>
  <c r="E59" i="4"/>
  <c r="E60" i="4"/>
  <c r="E61" i="4"/>
  <c r="E62" i="4"/>
  <c r="E63" i="4"/>
  <c r="E64" i="4"/>
  <c r="E65" i="4"/>
  <c r="E66" i="4"/>
  <c r="E67" i="4"/>
  <c r="E68" i="4"/>
  <c r="E69" i="4"/>
  <c r="E70" i="4"/>
  <c r="E71" i="4"/>
  <c r="E72" i="4"/>
  <c r="E73" i="4"/>
  <c r="E74" i="4"/>
  <c r="E75" i="4"/>
  <c r="E76" i="4"/>
  <c r="E77" i="4"/>
  <c r="E78" i="4"/>
  <c r="E79" i="4"/>
  <c r="E80" i="4"/>
  <c r="E81" i="4"/>
  <c r="E82" i="4"/>
  <c r="E83" i="4"/>
  <c r="E84" i="4"/>
  <c r="E85" i="4"/>
  <c r="E86" i="4"/>
  <c r="E87" i="4"/>
  <c r="E88" i="4"/>
  <c r="E89" i="4"/>
  <c r="E90" i="4"/>
  <c r="E91" i="4"/>
  <c r="E92" i="4"/>
  <c r="E93" i="4"/>
  <c r="E94" i="4"/>
  <c r="E95" i="4"/>
  <c r="E96" i="4"/>
  <c r="E97" i="4"/>
  <c r="E98" i="4"/>
  <c r="E99" i="4"/>
  <c r="E2" i="4"/>
  <c r="C2" i="1"/>
  <c r="C3" i="1"/>
  <c r="C4" i="1"/>
  <c r="C5" i="1"/>
  <c r="C6" i="1"/>
  <c r="C7" i="1"/>
  <c r="C8" i="1"/>
  <c r="C9" i="1"/>
  <c r="C10" i="1"/>
  <c r="C11" i="1"/>
  <c r="H11" i="1"/>
  <c r="E9" i="9"/>
  <c r="C10"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60" i="4"/>
  <c r="C61" i="4"/>
  <c r="C62" i="4"/>
  <c r="C63" i="4"/>
  <c r="C64" i="4"/>
  <c r="C65" i="4"/>
  <c r="C66" i="4"/>
  <c r="C67" i="4"/>
  <c r="C68" i="4"/>
  <c r="C69" i="4"/>
  <c r="C70" i="4"/>
  <c r="C71" i="4"/>
  <c r="C72" i="4"/>
  <c r="C73" i="4"/>
  <c r="C74" i="4"/>
  <c r="C75" i="4"/>
  <c r="C76" i="4"/>
  <c r="C77" i="4"/>
  <c r="C78" i="4"/>
  <c r="C79" i="4"/>
  <c r="C80" i="4"/>
  <c r="C81" i="4"/>
  <c r="C82" i="4"/>
  <c r="C83" i="4"/>
  <c r="C84" i="4"/>
  <c r="C85" i="4"/>
  <c r="C86" i="4"/>
  <c r="C87" i="4"/>
  <c r="C88" i="4"/>
  <c r="C89" i="4"/>
  <c r="C90" i="4"/>
  <c r="C91" i="4"/>
  <c r="C92" i="4"/>
  <c r="C93" i="4"/>
  <c r="C94" i="4"/>
  <c r="C95" i="4"/>
  <c r="C96" i="4"/>
  <c r="C97" i="4"/>
  <c r="C98" i="4"/>
  <c r="C99" i="4"/>
  <c r="C100" i="4"/>
  <c r="C12" i="7"/>
  <c r="C13" i="7"/>
  <c r="C14" i="7"/>
  <c r="C15" i="7"/>
  <c r="C16" i="7"/>
  <c r="C17" i="7"/>
  <c r="C18" i="7"/>
  <c r="C19" i="7"/>
  <c r="C20" i="7"/>
  <c r="C21" i="7"/>
  <c r="C22" i="7"/>
  <c r="C23" i="7"/>
  <c r="C24" i="7"/>
  <c r="C25" i="7"/>
  <c r="C26" i="7"/>
  <c r="C27" i="7"/>
  <c r="C28" i="7"/>
  <c r="C29" i="7"/>
  <c r="C30" i="7"/>
  <c r="C31" i="7"/>
  <c r="C32" i="7"/>
  <c r="C33" i="7"/>
  <c r="C34" i="7"/>
  <c r="C35" i="7"/>
  <c r="C36" i="7"/>
  <c r="C37" i="7"/>
  <c r="C38" i="7"/>
  <c r="C39" i="7"/>
  <c r="C40" i="7"/>
  <c r="C41" i="7"/>
  <c r="C42" i="7"/>
  <c r="C43" i="7"/>
  <c r="C44" i="7"/>
  <c r="C45" i="7"/>
  <c r="C46" i="7"/>
  <c r="C47" i="7"/>
  <c r="C48" i="7"/>
  <c r="C49" i="7"/>
  <c r="C50" i="7"/>
  <c r="C51" i="7"/>
  <c r="C52" i="7"/>
  <c r="C53" i="7"/>
  <c r="C54" i="7"/>
  <c r="C55" i="7"/>
  <c r="C56" i="7"/>
  <c r="C57" i="7"/>
  <c r="C58" i="7"/>
  <c r="C59" i="7"/>
  <c r="C60" i="7"/>
  <c r="C61" i="7"/>
  <c r="C62" i="7"/>
  <c r="C63" i="7"/>
  <c r="C64" i="7"/>
  <c r="C65" i="7"/>
  <c r="C66" i="7"/>
  <c r="C67" i="7"/>
  <c r="C68" i="7"/>
  <c r="C69" i="7"/>
  <c r="C70" i="7"/>
  <c r="C71" i="7"/>
  <c r="C72" i="7"/>
  <c r="C73" i="7"/>
  <c r="C74" i="7"/>
  <c r="C75" i="7"/>
  <c r="C76" i="7"/>
  <c r="C77" i="7"/>
  <c r="C78" i="7"/>
  <c r="C79" i="7"/>
  <c r="C80" i="7"/>
  <c r="C81" i="7"/>
  <c r="C82" i="7"/>
  <c r="C83" i="7"/>
  <c r="C84" i="7"/>
  <c r="C85" i="7"/>
  <c r="C86" i="7"/>
  <c r="C87" i="7"/>
  <c r="C88" i="7"/>
  <c r="C89" i="7"/>
  <c r="C90" i="7"/>
  <c r="C91" i="7"/>
  <c r="C92" i="7"/>
  <c r="C93" i="7"/>
  <c r="C94" i="7"/>
  <c r="C95" i="7"/>
  <c r="C96" i="7"/>
  <c r="C97" i="7"/>
  <c r="C98" i="7"/>
  <c r="C99" i="7"/>
  <c r="C100" i="7"/>
  <c r="C10" i="7"/>
  <c r="C11" i="7"/>
  <c r="G11" i="9" a="1"/>
  <c r="G11" i="9" s="1"/>
  <c r="G12" i="9" a="1"/>
  <c r="G12" i="9"/>
  <c r="G13" i="9" a="1"/>
  <c r="G13" i="9" s="1"/>
  <c r="G14" i="9" a="1"/>
  <c r="G14" i="9"/>
  <c r="G15" i="9" a="1"/>
  <c r="G15" i="9"/>
  <c r="G16" i="9" a="1"/>
  <c r="G16" i="9"/>
  <c r="G17" i="9" a="1"/>
  <c r="G17" i="9"/>
  <c r="G18" i="9" a="1"/>
  <c r="G18" i="9" s="1"/>
  <c r="G19" i="9" a="1"/>
  <c r="G19" i="9"/>
  <c r="G20" i="9" a="1"/>
  <c r="G20" i="9"/>
  <c r="G21" i="9" a="1"/>
  <c r="G21" i="9"/>
  <c r="G22" i="9" a="1"/>
  <c r="G22" i="9"/>
  <c r="G23" i="9" a="1"/>
  <c r="G23" i="9"/>
  <c r="G24" i="9" a="1"/>
  <c r="G24" i="9"/>
  <c r="G25" i="9" a="1"/>
  <c r="G25" i="9" s="1"/>
  <c r="G26" i="9" a="1"/>
  <c r="G26" i="9"/>
  <c r="G27" i="9" a="1"/>
  <c r="G27" i="9"/>
  <c r="G28" i="9" a="1"/>
  <c r="G28" i="9"/>
  <c r="G29" i="9" a="1"/>
  <c r="G29" i="9"/>
  <c r="G30" i="9" a="1"/>
  <c r="G30" i="9"/>
  <c r="G31" i="9" a="1"/>
  <c r="G31" i="9"/>
  <c r="G32" i="9" a="1"/>
  <c r="G32" i="9" s="1"/>
  <c r="G33" i="9" a="1"/>
  <c r="G33" i="9"/>
  <c r="G34" i="9" a="1"/>
  <c r="G34" i="9"/>
  <c r="G35" i="9" a="1"/>
  <c r="G35" i="9"/>
  <c r="G36" i="9" a="1"/>
  <c r="G36" i="9"/>
  <c r="G37" i="9" a="1"/>
  <c r="G37" i="9"/>
  <c r="G38" i="9" a="1"/>
  <c r="G38" i="9"/>
  <c r="G39" i="9" a="1"/>
  <c r="G39" i="9" s="1"/>
  <c r="G40" i="9" a="1"/>
  <c r="G40" i="9"/>
  <c r="G41" i="9" a="1"/>
  <c r="G41" i="9"/>
  <c r="G42" i="9" a="1"/>
  <c r="G42" i="9"/>
  <c r="G43" i="9" a="1"/>
  <c r="G43" i="9"/>
  <c r="G44" i="9" a="1"/>
  <c r="G44" i="9"/>
  <c r="G45" i="9" a="1"/>
  <c r="G45" i="9"/>
  <c r="G46" i="9" a="1"/>
  <c r="G46" i="9" s="1"/>
  <c r="G47" i="9" a="1"/>
  <c r="G47" i="9"/>
  <c r="G48" i="9" a="1"/>
  <c r="G48" i="9"/>
  <c r="G49" i="9" a="1"/>
  <c r="G49" i="9"/>
  <c r="G50" i="9" a="1"/>
  <c r="G50" i="9"/>
  <c r="G51" i="9" a="1"/>
  <c r="G51" i="9"/>
  <c r="G52" i="9" a="1"/>
  <c r="G52" i="9"/>
  <c r="G53" i="9" a="1"/>
  <c r="G53" i="9" s="1"/>
  <c r="G54" i="9" a="1"/>
  <c r="G54" i="9"/>
  <c r="G55" i="9" a="1"/>
  <c r="G55" i="9"/>
  <c r="G56" i="9" a="1"/>
  <c r="G56" i="9"/>
  <c r="G57" i="9" a="1"/>
  <c r="G57" i="9"/>
  <c r="G58" i="9" a="1"/>
  <c r="G58" i="9"/>
  <c r="G59" i="9" a="1"/>
  <c r="G59" i="9"/>
  <c r="G60" i="9" a="1"/>
  <c r="G60" i="9" s="1"/>
  <c r="G61" i="9" a="1"/>
  <c r="G61" i="9" s="1"/>
  <c r="G62" i="9" a="1"/>
  <c r="G62" i="9"/>
  <c r="G63" i="9" a="1"/>
  <c r="G63" i="9"/>
  <c r="G64" i="9" a="1"/>
  <c r="G64" i="9"/>
  <c r="G65" i="9" a="1"/>
  <c r="G65" i="9"/>
  <c r="G66" i="9" a="1"/>
  <c r="G66" i="9"/>
  <c r="G67" i="9" a="1"/>
  <c r="G67" i="9" s="1"/>
  <c r="G68" i="9" a="1"/>
  <c r="G68" i="9" s="1"/>
  <c r="G69" i="9" a="1"/>
  <c r="G69" i="9"/>
  <c r="G70" i="9" a="1"/>
  <c r="G70" i="9"/>
  <c r="G71" i="9" a="1"/>
  <c r="G71" i="9"/>
  <c r="G72" i="9" a="1"/>
  <c r="G72" i="9"/>
  <c r="G73" i="9" a="1"/>
  <c r="G73" i="9"/>
  <c r="G74" i="9" a="1"/>
  <c r="G74" i="9" s="1"/>
  <c r="G75" i="9" a="1"/>
  <c r="G75" i="9" s="1"/>
  <c r="G76" i="9" a="1"/>
  <c r="G76" i="9"/>
  <c r="G77" i="9" a="1"/>
  <c r="G77" i="9"/>
  <c r="G78" i="9" a="1"/>
  <c r="G78" i="9"/>
  <c r="G79" i="9" a="1"/>
  <c r="G79" i="9"/>
  <c r="G80" i="9" a="1"/>
  <c r="G80" i="9"/>
  <c r="G81" i="9" a="1"/>
  <c r="G81" i="9" s="1"/>
  <c r="G82" i="9" a="1"/>
  <c r="G82" i="9" s="1"/>
  <c r="G83" i="9" a="1"/>
  <c r="G83" i="9"/>
  <c r="G84" i="9" a="1"/>
  <c r="G84" i="9"/>
  <c r="G85" i="9" a="1"/>
  <c r="G85" i="9"/>
  <c r="G86" i="9" a="1"/>
  <c r="G86" i="9"/>
  <c r="G87" i="9" a="1"/>
  <c r="G87" i="9"/>
  <c r="G88" i="9" a="1"/>
  <c r="G88" i="9" s="1"/>
  <c r="G89" i="9" a="1"/>
  <c r="G89" i="9" s="1"/>
  <c r="G90" i="9" a="1"/>
  <c r="G90" i="9"/>
  <c r="G91" i="9" a="1"/>
  <c r="G91" i="9"/>
  <c r="G92" i="9" a="1"/>
  <c r="G92" i="9"/>
  <c r="G93" i="9" a="1"/>
  <c r="G93" i="9"/>
  <c r="G94" i="9" a="1"/>
  <c r="G94" i="9"/>
  <c r="G95" i="9" a="1"/>
  <c r="G95" i="9" s="1"/>
  <c r="G96" i="9" a="1"/>
  <c r="G96" i="9" s="1"/>
  <c r="G97" i="9" a="1"/>
  <c r="G97" i="9"/>
  <c r="G98" i="9" a="1"/>
  <c r="G98" i="9"/>
  <c r="G99" i="9" a="1"/>
  <c r="G99" i="9"/>
  <c r="G100" i="9" a="1"/>
  <c r="G100" i="9"/>
  <c r="G9" i="9" a="1"/>
  <c r="G9" i="9" s="1"/>
  <c r="G10" i="9" a="1"/>
  <c r="G10" i="9" s="1"/>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F9" i="9" a="1"/>
  <c r="F9" i="9" s="1"/>
  <c r="C9" i="2" s="1"/>
  <c r="F10" i="9" a="1"/>
  <c r="F10" i="9" s="1"/>
  <c r="F11" i="9" a="1"/>
  <c r="F11" i="9" s="1"/>
  <c r="F12" i="9" a="1"/>
  <c r="F12" i="9"/>
  <c r="F13" i="9" a="1"/>
  <c r="F13" i="9" s="1"/>
  <c r="F14" i="9" a="1"/>
  <c r="F14" i="9"/>
  <c r="F15" i="9" a="1"/>
  <c r="F15" i="9"/>
  <c r="F16" i="9" a="1"/>
  <c r="F16" i="9"/>
  <c r="F17" i="9" a="1"/>
  <c r="F17" i="9" s="1"/>
  <c r="F18" i="9" a="1"/>
  <c r="F18" i="9" s="1"/>
  <c r="F19" i="9" a="1"/>
  <c r="F19" i="9" s="1"/>
  <c r="F20" i="9" a="1"/>
  <c r="F20" i="9" s="1"/>
  <c r="F21" i="9" a="1"/>
  <c r="F21" i="9"/>
  <c r="F22" i="9" a="1"/>
  <c r="F22" i="9"/>
  <c r="F23" i="9" a="1"/>
  <c r="F23" i="9"/>
  <c r="F24" i="9" a="1"/>
  <c r="F24" i="9" s="1"/>
  <c r="F25" i="9" a="1"/>
  <c r="F25" i="9" s="1"/>
  <c r="F26" i="9" a="1"/>
  <c r="F26" i="9"/>
  <c r="F27" i="9" a="1"/>
  <c r="F27" i="9" s="1"/>
  <c r="F28" i="9" a="1"/>
  <c r="F28" i="9"/>
  <c r="F29" i="9" a="1"/>
  <c r="F29" i="9"/>
  <c r="F30" i="9" a="1"/>
  <c r="F30" i="9"/>
  <c r="F31" i="9" a="1"/>
  <c r="F31" i="9" s="1"/>
  <c r="F32" i="9" a="1"/>
  <c r="F32" i="9" s="1"/>
  <c r="F33" i="9" a="1"/>
  <c r="F33" i="9"/>
  <c r="F34" i="9" a="1"/>
  <c r="F34" i="9" s="1"/>
  <c r="F35" i="9" a="1"/>
  <c r="F35" i="9"/>
  <c r="F36" i="9" a="1"/>
  <c r="F36" i="9"/>
  <c r="F37" i="9" a="1"/>
  <c r="F37" i="9"/>
  <c r="F38" i="9" a="1"/>
  <c r="F38" i="9" s="1"/>
  <c r="F39" i="9" a="1"/>
  <c r="F39" i="9" s="1"/>
  <c r="F40" i="9" a="1"/>
  <c r="F40" i="9"/>
  <c r="F41" i="9" a="1"/>
  <c r="F41" i="9" s="1"/>
  <c r="F42" i="9" a="1"/>
  <c r="F42" i="9"/>
  <c r="F43" i="9" a="1"/>
  <c r="F43" i="9"/>
  <c r="F44" i="9" a="1"/>
  <c r="F44" i="9"/>
  <c r="F45" i="9" a="1"/>
  <c r="F45" i="9" s="1"/>
  <c r="F46" i="9" a="1"/>
  <c r="F46" i="9" s="1"/>
  <c r="F47" i="9" a="1"/>
  <c r="F47" i="9"/>
  <c r="F48" i="9" a="1"/>
  <c r="F48" i="9" s="1"/>
  <c r="F49" i="9" a="1"/>
  <c r="F49" i="9"/>
  <c r="F50" i="9" a="1"/>
  <c r="F50" i="9"/>
  <c r="F51" i="9" a="1"/>
  <c r="F51" i="9"/>
  <c r="F52" i="9" a="1"/>
  <c r="F52" i="9" s="1"/>
  <c r="F53" i="9" a="1"/>
  <c r="F53" i="9" s="1"/>
  <c r="F54" i="9" a="1"/>
  <c r="F54" i="9"/>
  <c r="F55" i="9" a="1"/>
  <c r="F55" i="9" s="1"/>
  <c r="F56" i="9" a="1"/>
  <c r="F56" i="9"/>
  <c r="F57" i="9" a="1"/>
  <c r="F57" i="9"/>
  <c r="F58" i="9" a="1"/>
  <c r="F58" i="9"/>
  <c r="F59" i="9" a="1"/>
  <c r="F59" i="9" s="1"/>
  <c r="F60" i="9" a="1"/>
  <c r="F60" i="9" s="1"/>
  <c r="F61" i="9" a="1"/>
  <c r="F61" i="9"/>
  <c r="F62" i="9" a="1"/>
  <c r="F62" i="9" s="1"/>
  <c r="F63" i="9" a="1"/>
  <c r="F63" i="9"/>
  <c r="F64" i="9" a="1"/>
  <c r="F64" i="9"/>
  <c r="F65" i="9" a="1"/>
  <c r="F65" i="9"/>
  <c r="F66" i="9" a="1"/>
  <c r="F66" i="9" s="1"/>
  <c r="F67" i="9" a="1"/>
  <c r="F67" i="9" s="1"/>
  <c r="F68" i="9" a="1"/>
  <c r="F68" i="9"/>
  <c r="F69" i="9" a="1"/>
  <c r="F69" i="9" s="1"/>
  <c r="F70" i="9" a="1"/>
  <c r="F70" i="9"/>
  <c r="F71" i="9" a="1"/>
  <c r="F71" i="9"/>
  <c r="F72" i="9" a="1"/>
  <c r="F72" i="9"/>
  <c r="F73" i="9" a="1"/>
  <c r="F73" i="9" s="1"/>
  <c r="F74" i="9" a="1"/>
  <c r="F74" i="9" s="1"/>
  <c r="F75" i="9" a="1"/>
  <c r="F75" i="9"/>
  <c r="F76" i="9" a="1"/>
  <c r="F76" i="9" s="1"/>
  <c r="F77" i="9" a="1"/>
  <c r="F77" i="9"/>
  <c r="F78" i="9" a="1"/>
  <c r="F78" i="9"/>
  <c r="F79" i="9" a="1"/>
  <c r="F79" i="9"/>
  <c r="F80" i="9" a="1"/>
  <c r="F80" i="9" s="1"/>
  <c r="F81" i="9" a="1"/>
  <c r="F81" i="9" s="1"/>
  <c r="F82" i="9" a="1"/>
  <c r="F82" i="9"/>
  <c r="F83" i="9" a="1"/>
  <c r="F83" i="9" s="1"/>
  <c r="F84" i="9" a="1"/>
  <c r="F84" i="9"/>
  <c r="F85" i="9" a="1"/>
  <c r="F85" i="9"/>
  <c r="F86" i="9" a="1"/>
  <c r="F86" i="9"/>
  <c r="F87" i="9" a="1"/>
  <c r="F87" i="9" s="1"/>
  <c r="F88" i="9" a="1"/>
  <c r="F88" i="9" s="1"/>
  <c r="F89" i="9" a="1"/>
  <c r="F89" i="9"/>
  <c r="F90" i="9" a="1"/>
  <c r="F90" i="9" s="1"/>
  <c r="F91" i="9" a="1"/>
  <c r="F91" i="9"/>
  <c r="F92" i="9" a="1"/>
  <c r="F92" i="9"/>
  <c r="F93" i="9" a="1"/>
  <c r="F93" i="9"/>
  <c r="F94" i="9" a="1"/>
  <c r="F94" i="9" s="1"/>
  <c r="F95" i="9" a="1"/>
  <c r="F95" i="9" s="1"/>
  <c r="F96" i="9" a="1"/>
  <c r="F96" i="9"/>
  <c r="F97" i="9" a="1"/>
  <c r="F97" i="9" s="1"/>
  <c r="F98" i="9" a="1"/>
  <c r="F98" i="9"/>
  <c r="F99" i="9" a="1"/>
  <c r="F99" i="9"/>
  <c r="F100" i="9" a="1"/>
  <c r="F100" i="9"/>
  <c r="C9" i="9" a="1"/>
  <c r="C9" i="9" s="1"/>
  <c r="C10" i="9" a="1"/>
  <c r="C10" i="9" s="1"/>
  <c r="C11" i="9" a="1"/>
  <c r="C11" i="9" s="1"/>
  <c r="C12" i="9" a="1"/>
  <c r="C12" i="9"/>
  <c r="C13" i="9" a="1"/>
  <c r="C13" i="9" s="1"/>
  <c r="C14" i="9" a="1"/>
  <c r="C14" i="9" s="1"/>
  <c r="C15" i="9" a="1"/>
  <c r="C15" i="9"/>
  <c r="C16" i="9" a="1"/>
  <c r="C16" i="9"/>
  <c r="C17" i="9" a="1"/>
  <c r="C17" i="9" s="1"/>
  <c r="C18" i="9" a="1"/>
  <c r="C18" i="9" s="1"/>
  <c r="C19" i="9" a="1"/>
  <c r="C19" i="9"/>
  <c r="C20" i="9" a="1"/>
  <c r="C20" i="9" s="1"/>
  <c r="C21" i="9" a="1"/>
  <c r="C21" i="9" s="1"/>
  <c r="C22" i="9" a="1"/>
  <c r="C22" i="9"/>
  <c r="C23" i="9" a="1"/>
  <c r="C23" i="9"/>
  <c r="C24" i="9" a="1"/>
  <c r="C24" i="9" s="1"/>
  <c r="C25" i="9" a="1"/>
  <c r="C25" i="9" s="1"/>
  <c r="C26" i="9" a="1"/>
  <c r="C26" i="9"/>
  <c r="C27" i="9" a="1"/>
  <c r="C27" i="9" s="1"/>
  <c r="C28" i="9" a="1"/>
  <c r="C28" i="9" s="1"/>
  <c r="C29" i="9" a="1"/>
  <c r="C29" i="9"/>
  <c r="C30" i="9" a="1"/>
  <c r="C30" i="9"/>
  <c r="C31" i="9" a="1"/>
  <c r="C31" i="9" s="1"/>
  <c r="C32" i="9" a="1"/>
  <c r="C32" i="9" s="1"/>
  <c r="C33" i="9" a="1"/>
  <c r="C33" i="9"/>
  <c r="C34" i="9" a="1"/>
  <c r="C34" i="9" s="1"/>
  <c r="C35" i="9" a="1"/>
  <c r="C35" i="9" s="1"/>
  <c r="C36" i="9" a="1"/>
  <c r="C36" i="9"/>
  <c r="C37" i="9" a="1"/>
  <c r="C37" i="9"/>
  <c r="C38" i="9" a="1"/>
  <c r="C38" i="9" s="1"/>
  <c r="C39" i="9" a="1"/>
  <c r="C39" i="9" s="1"/>
  <c r="C40" i="9" a="1"/>
  <c r="C40" i="9"/>
  <c r="C41" i="9" a="1"/>
  <c r="C41" i="9" s="1"/>
  <c r="C42" i="9" a="1"/>
  <c r="C42" i="9" s="1"/>
  <c r="C43" i="9" a="1"/>
  <c r="C43" i="9"/>
  <c r="C44" i="9" a="1"/>
  <c r="C44" i="9"/>
  <c r="C45" i="9" a="1"/>
  <c r="C45" i="9" s="1"/>
  <c r="C46" i="9" a="1"/>
  <c r="C46" i="9" s="1"/>
  <c r="C47" i="9" a="1"/>
  <c r="C47" i="9"/>
  <c r="C48" i="9" a="1"/>
  <c r="C48" i="9" s="1"/>
  <c r="C49" i="9" a="1"/>
  <c r="C49" i="9" s="1"/>
  <c r="C50" i="9" a="1"/>
  <c r="C50" i="9" s="1"/>
  <c r="C51" i="9" a="1"/>
  <c r="C51" i="9"/>
  <c r="C52" i="9" a="1"/>
  <c r="C52" i="9" s="1"/>
  <c r="C53" i="9" a="1"/>
  <c r="C53" i="9" s="1"/>
  <c r="C54" i="9" a="1"/>
  <c r="C54" i="9"/>
  <c r="C55" i="9" a="1"/>
  <c r="C55" i="9" s="1"/>
  <c r="C56" i="9" a="1"/>
  <c r="C56" i="9" s="1"/>
  <c r="C57" i="9" a="1"/>
  <c r="C57" i="9" s="1"/>
  <c r="C58" i="9" a="1"/>
  <c r="C58" i="9"/>
  <c r="C59" i="9" a="1"/>
  <c r="C59" i="9" s="1"/>
  <c r="C60" i="9" a="1"/>
  <c r="C60" i="9" s="1"/>
  <c r="C61" i="9" a="1"/>
  <c r="C61" i="9"/>
  <c r="C62" i="9" a="1"/>
  <c r="C62" i="9" s="1"/>
  <c r="C63" i="9" a="1"/>
  <c r="C63" i="9" s="1"/>
  <c r="C64" i="9" a="1"/>
  <c r="C64" i="9"/>
  <c r="C65" i="9" a="1"/>
  <c r="C65" i="9"/>
  <c r="C66" i="9" a="1"/>
  <c r="C66" i="9" s="1"/>
  <c r="C67" i="9" a="1"/>
  <c r="C67" i="9" s="1"/>
  <c r="C68" i="9" a="1"/>
  <c r="C68" i="9"/>
  <c r="C69" i="9" a="1"/>
  <c r="C69" i="9" s="1"/>
  <c r="C70" i="9" a="1"/>
  <c r="C70" i="9" s="1"/>
  <c r="C71" i="9" a="1"/>
  <c r="C71" i="9"/>
  <c r="C72" i="9" a="1"/>
  <c r="C72" i="9"/>
  <c r="C73" i="9" a="1"/>
  <c r="C73" i="9" s="1"/>
  <c r="C74" i="9" a="1"/>
  <c r="C74" i="9" s="1"/>
  <c r="C75" i="9" a="1"/>
  <c r="C75" i="9"/>
  <c r="C76" i="9" a="1"/>
  <c r="C76" i="9" s="1"/>
  <c r="C77" i="9" a="1"/>
  <c r="C77" i="9" s="1"/>
  <c r="C78" i="9" a="1"/>
  <c r="C78" i="9"/>
  <c r="C79" i="9" a="1"/>
  <c r="C79" i="9"/>
  <c r="C80" i="9" a="1"/>
  <c r="C80" i="9" s="1"/>
  <c r="C81" i="9" a="1"/>
  <c r="C81" i="9" s="1"/>
  <c r="C82" i="9" a="1"/>
  <c r="C82" i="9"/>
  <c r="C83" i="9" a="1"/>
  <c r="C83" i="9" s="1"/>
  <c r="C84" i="9" a="1"/>
  <c r="C84" i="9" s="1"/>
  <c r="C85" i="9" a="1"/>
  <c r="C85" i="9"/>
  <c r="C86" i="9" a="1"/>
  <c r="C86" i="9"/>
  <c r="C87" i="9" a="1"/>
  <c r="C87" i="9" s="1"/>
  <c r="C88" i="9" a="1"/>
  <c r="C88" i="9" s="1"/>
  <c r="C89" i="9" a="1"/>
  <c r="C89" i="9"/>
  <c r="C90" i="9" a="1"/>
  <c r="C90" i="9" s="1"/>
  <c r="C91" i="9" a="1"/>
  <c r="C91" i="9" s="1"/>
  <c r="C92" i="9" a="1"/>
  <c r="C92" i="9"/>
  <c r="C93" i="9" a="1"/>
  <c r="C93" i="9"/>
  <c r="C94" i="9" a="1"/>
  <c r="C94" i="9" s="1"/>
  <c r="C95" i="9" a="1"/>
  <c r="C95" i="9" s="1"/>
  <c r="C96" i="9" a="1"/>
  <c r="C96" i="9"/>
  <c r="C97" i="9" a="1"/>
  <c r="C97" i="9" s="1"/>
  <c r="C98" i="9" a="1"/>
  <c r="C98" i="9" s="1"/>
  <c r="C99" i="9" a="1"/>
  <c r="C99" i="9"/>
  <c r="C100" i="9" a="1"/>
  <c r="C100" i="9"/>
  <c r="B10" i="3"/>
  <c r="B11" i="3"/>
  <c r="B12" i="3"/>
  <c r="B13" i="3"/>
  <c r="B14" i="3"/>
  <c r="B15" i="3"/>
  <c r="B16" i="3"/>
  <c r="B17" i="3"/>
  <c r="B18" i="3"/>
  <c r="B19" i="3"/>
  <c r="B20" i="3"/>
  <c r="B21" i="3"/>
  <c r="B22" i="3"/>
  <c r="B23" i="3"/>
  <c r="B24" i="3"/>
  <c r="B25" i="3"/>
  <c r="B26" i="3"/>
  <c r="B27" i="3"/>
  <c r="B28" i="3"/>
  <c r="B29" i="3"/>
  <c r="B30" i="3"/>
  <c r="B31" i="3"/>
  <c r="B32" i="3"/>
  <c r="B33" i="3"/>
  <c r="B34" i="3"/>
  <c r="B35" i="3"/>
  <c r="B36" i="3"/>
  <c r="B37" i="3"/>
  <c r="B38" i="3"/>
  <c r="B39" i="3"/>
  <c r="B40" i="3"/>
  <c r="B41" i="3"/>
  <c r="B42" i="3"/>
  <c r="B43" i="3"/>
  <c r="B44" i="3"/>
  <c r="B45" i="3"/>
  <c r="B46" i="3"/>
  <c r="B47" i="3"/>
  <c r="B48" i="3"/>
  <c r="B49" i="3"/>
  <c r="B50" i="3"/>
  <c r="B51" i="3"/>
  <c r="B52" i="3"/>
  <c r="B53" i="3"/>
  <c r="B54" i="3"/>
  <c r="B55" i="3"/>
  <c r="B56" i="3"/>
  <c r="B57" i="3"/>
  <c r="B58" i="3"/>
  <c r="B59" i="3"/>
  <c r="B60" i="3"/>
  <c r="B61" i="3"/>
  <c r="B62" i="3"/>
  <c r="B63" i="3"/>
  <c r="B64" i="3"/>
  <c r="B65" i="3"/>
  <c r="B66" i="3"/>
  <c r="B67" i="3"/>
  <c r="B68" i="3"/>
  <c r="B69" i="3"/>
  <c r="B70" i="3"/>
  <c r="B71" i="3"/>
  <c r="B72" i="3"/>
  <c r="B73" i="3"/>
  <c r="B74" i="3"/>
  <c r="B75" i="3"/>
  <c r="B76" i="3"/>
  <c r="B77" i="3"/>
  <c r="B78" i="3"/>
  <c r="B79" i="3"/>
  <c r="B80" i="3"/>
  <c r="B81" i="3"/>
  <c r="B82" i="3"/>
  <c r="B83" i="3"/>
  <c r="B84" i="3"/>
  <c r="B85" i="3"/>
  <c r="B86" i="3"/>
  <c r="B87" i="3"/>
  <c r="B88" i="3"/>
  <c r="B89" i="3"/>
  <c r="B90" i="3"/>
  <c r="B91" i="3"/>
  <c r="B92" i="3"/>
  <c r="B93" i="3"/>
  <c r="B94" i="3"/>
  <c r="B95" i="3"/>
  <c r="B96" i="3"/>
  <c r="B97" i="3"/>
  <c r="B98" i="3"/>
  <c r="B99" i="3"/>
  <c r="B100" i="3"/>
  <c r="C10" i="3"/>
  <c r="C11" i="3"/>
  <c r="C12" i="3"/>
  <c r="C13" i="3"/>
  <c r="C14" i="3"/>
  <c r="C15" i="3"/>
  <c r="C16" i="3"/>
  <c r="C17" i="3"/>
  <c r="C18" i="3"/>
  <c r="C19" i="3"/>
  <c r="C20" i="3"/>
  <c r="C21" i="3"/>
  <c r="C22" i="3"/>
  <c r="C23" i="3"/>
  <c r="C24" i="3"/>
  <c r="C25" i="3"/>
  <c r="C26" i="3"/>
  <c r="C27" i="3"/>
  <c r="C28" i="3"/>
  <c r="C29" i="3"/>
  <c r="C30" i="3"/>
  <c r="C31" i="3"/>
  <c r="C32" i="3"/>
  <c r="C33" i="3"/>
  <c r="C34" i="3"/>
  <c r="C35" i="3"/>
  <c r="C36" i="3"/>
  <c r="C37" i="3"/>
  <c r="C38" i="3"/>
  <c r="C39" i="3"/>
  <c r="C40" i="3"/>
  <c r="C41" i="3"/>
  <c r="C42" i="3"/>
  <c r="C43" i="3"/>
  <c r="C44" i="3"/>
  <c r="C45" i="3"/>
  <c r="C46" i="3"/>
  <c r="C47" i="3"/>
  <c r="C48" i="3"/>
  <c r="C49" i="3"/>
  <c r="C50" i="3"/>
  <c r="C51" i="3"/>
  <c r="C52" i="3"/>
  <c r="C53" i="3"/>
  <c r="C54" i="3"/>
  <c r="C55" i="3"/>
  <c r="C56" i="3"/>
  <c r="C57" i="3"/>
  <c r="C58" i="3"/>
  <c r="C59" i="3"/>
  <c r="C60" i="3"/>
  <c r="C61" i="3"/>
  <c r="C62" i="3"/>
  <c r="C63" i="3"/>
  <c r="C64" i="3"/>
  <c r="C65" i="3"/>
  <c r="C66" i="3"/>
  <c r="C67" i="3"/>
  <c r="C68" i="3"/>
  <c r="C69" i="3"/>
  <c r="C70" i="3"/>
  <c r="C71" i="3"/>
  <c r="C72" i="3"/>
  <c r="C73" i="3"/>
  <c r="C74" i="3"/>
  <c r="C75" i="3"/>
  <c r="C76" i="3"/>
  <c r="C77" i="3"/>
  <c r="C78" i="3"/>
  <c r="C79" i="3"/>
  <c r="C80" i="3"/>
  <c r="C81" i="3"/>
  <c r="C82" i="3"/>
  <c r="C83" i="3"/>
  <c r="C84" i="3"/>
  <c r="C85" i="3"/>
  <c r="C86" i="3"/>
  <c r="C87" i="3"/>
  <c r="C88" i="3"/>
  <c r="C89" i="3"/>
  <c r="C90" i="3"/>
  <c r="C91" i="3"/>
  <c r="C92" i="3"/>
  <c r="C93" i="3"/>
  <c r="C94" i="3"/>
  <c r="C95" i="3"/>
  <c r="C96" i="3"/>
  <c r="C97" i="3"/>
  <c r="C98" i="3"/>
  <c r="C99" i="3"/>
  <c r="C100" i="3"/>
  <c r="E8" i="9"/>
  <c r="H10" i="1"/>
  <c r="E10" i="7"/>
  <c r="E11" i="7"/>
  <c r="E12" i="7"/>
  <c r="E13" i="7"/>
  <c r="E14" i="7"/>
  <c r="E15" i="7"/>
  <c r="E16" i="7"/>
  <c r="E17" i="7"/>
  <c r="E18" i="7"/>
  <c r="E19" i="7"/>
  <c r="E20" i="7"/>
  <c r="E21" i="7"/>
  <c r="E22" i="7"/>
  <c r="E23" i="7"/>
  <c r="E24" i="7"/>
  <c r="E25" i="7"/>
  <c r="E26" i="7"/>
  <c r="E27" i="7"/>
  <c r="E28" i="7"/>
  <c r="E29" i="7"/>
  <c r="E30" i="7"/>
  <c r="E31" i="7"/>
  <c r="E32" i="7"/>
  <c r="E33" i="7"/>
  <c r="E34" i="7"/>
  <c r="E35" i="7"/>
  <c r="E36" i="7"/>
  <c r="E37" i="7"/>
  <c r="E38" i="7"/>
  <c r="E39" i="7"/>
  <c r="E40" i="7"/>
  <c r="E41" i="7"/>
  <c r="E42" i="7"/>
  <c r="E43" i="7"/>
  <c r="E44" i="7"/>
  <c r="E45" i="7"/>
  <c r="E46" i="7"/>
  <c r="E47" i="7"/>
  <c r="E48" i="7"/>
  <c r="E49" i="7"/>
  <c r="E50" i="7"/>
  <c r="E51" i="7"/>
  <c r="E52" i="7"/>
  <c r="E53" i="7"/>
  <c r="E54" i="7"/>
  <c r="E55" i="7"/>
  <c r="E56" i="7"/>
  <c r="E57" i="7"/>
  <c r="E58" i="7"/>
  <c r="E59" i="7"/>
  <c r="E60" i="7"/>
  <c r="E61" i="7"/>
  <c r="E62" i="7"/>
  <c r="E63" i="7"/>
  <c r="E64" i="7"/>
  <c r="E65" i="7"/>
  <c r="E66" i="7"/>
  <c r="E67" i="7"/>
  <c r="E68" i="7"/>
  <c r="E69" i="7"/>
  <c r="E70" i="7"/>
  <c r="E71" i="7"/>
  <c r="E72" i="7"/>
  <c r="E73" i="7"/>
  <c r="E74" i="7"/>
  <c r="E75" i="7"/>
  <c r="E76" i="7"/>
  <c r="E77" i="7"/>
  <c r="E78" i="7"/>
  <c r="E79" i="7"/>
  <c r="E80" i="7"/>
  <c r="E81" i="7"/>
  <c r="E82" i="7"/>
  <c r="E83" i="7"/>
  <c r="E84" i="7"/>
  <c r="E85" i="7"/>
  <c r="E86" i="7"/>
  <c r="E87" i="7"/>
  <c r="E88" i="7"/>
  <c r="E89" i="7"/>
  <c r="E90" i="7"/>
  <c r="E91" i="7"/>
  <c r="E92" i="7"/>
  <c r="E93" i="7"/>
  <c r="E94" i="7"/>
  <c r="E95" i="7"/>
  <c r="E96" i="7"/>
  <c r="E97" i="7"/>
  <c r="E98" i="7"/>
  <c r="E99" i="7"/>
  <c r="E100" i="7"/>
  <c r="A2" i="3" a="1"/>
  <c r="A2" i="3" s="1"/>
  <c r="E2" i="9"/>
  <c r="E3" i="9"/>
  <c r="E4" i="9"/>
  <c r="E5" i="9"/>
  <c r="E6" i="9"/>
  <c r="E7" i="9"/>
  <c r="D3" i="9" a="1"/>
  <c r="D3" i="9" s="1"/>
  <c r="D4" i="9" a="1"/>
  <c r="D4" i="9" s="1"/>
  <c r="D5" i="9" a="1"/>
  <c r="D5" i="9" s="1"/>
  <c r="D6" i="9" a="1"/>
  <c r="D6" i="9" s="1"/>
  <c r="D7" i="9" a="1"/>
  <c r="D7" i="9" s="1"/>
  <c r="D8" i="9" a="1"/>
  <c r="D8" i="9" s="1"/>
  <c r="D9" i="9" a="1"/>
  <c r="D9" i="9" s="1"/>
  <c r="D10" i="9" a="1"/>
  <c r="D10" i="9" s="1"/>
  <c r="D11" i="9" a="1"/>
  <c r="D11" i="9" s="1"/>
  <c r="D12" i="9" a="1"/>
  <c r="D12" i="9" s="1"/>
  <c r="D13" i="9" a="1"/>
  <c r="D13" i="9" s="1"/>
  <c r="D14" i="9" a="1"/>
  <c r="D14" i="9" s="1"/>
  <c r="D15" i="9" a="1"/>
  <c r="D15" i="9" s="1"/>
  <c r="D16" i="9" a="1"/>
  <c r="D16" i="9" s="1"/>
  <c r="D17" i="9" a="1"/>
  <c r="D17" i="9" s="1"/>
  <c r="D18" i="9" a="1"/>
  <c r="D18" i="9" s="1"/>
  <c r="D19" i="9" a="1"/>
  <c r="D19" i="9" s="1"/>
  <c r="D20" i="9" a="1"/>
  <c r="D20" i="9" s="1"/>
  <c r="D21" i="9" a="1"/>
  <c r="D21" i="9" s="1"/>
  <c r="D22" i="9" a="1"/>
  <c r="D22" i="9"/>
  <c r="D23" i="9" a="1"/>
  <c r="D23" i="9" s="1"/>
  <c r="D24" i="9" a="1"/>
  <c r="D24" i="9" s="1"/>
  <c r="D25" i="9" a="1"/>
  <c r="D25" i="9" s="1"/>
  <c r="D26" i="9" a="1"/>
  <c r="D26" i="9" s="1"/>
  <c r="D27" i="9" a="1"/>
  <c r="D27" i="9" s="1"/>
  <c r="D28" i="9" a="1"/>
  <c r="D28" i="9" s="1"/>
  <c r="D29" i="9" a="1"/>
  <c r="D29" i="9"/>
  <c r="D30" i="9" a="1"/>
  <c r="D30" i="9" s="1"/>
  <c r="D31" i="9" a="1"/>
  <c r="D31" i="9" s="1"/>
  <c r="D32" i="9" a="1"/>
  <c r="D32" i="9" s="1"/>
  <c r="D33" i="9" a="1"/>
  <c r="D33" i="9" s="1"/>
  <c r="D34" i="9" a="1"/>
  <c r="D34" i="9" s="1"/>
  <c r="D35" i="9" a="1"/>
  <c r="D35" i="9" s="1"/>
  <c r="D36" i="9" a="1"/>
  <c r="D36" i="9" s="1"/>
  <c r="D37" i="9" a="1"/>
  <c r="D37" i="9" s="1"/>
  <c r="D38" i="9" a="1"/>
  <c r="D38" i="9" s="1"/>
  <c r="D39" i="9" a="1"/>
  <c r="D39" i="9" s="1"/>
  <c r="D40" i="9" a="1"/>
  <c r="D40" i="9" s="1"/>
  <c r="D41" i="9" a="1"/>
  <c r="D41" i="9" s="1"/>
  <c r="D42" i="9" a="1"/>
  <c r="D42" i="9" s="1"/>
  <c r="D43" i="9" a="1"/>
  <c r="D43" i="9" s="1"/>
  <c r="D44" i="9" a="1"/>
  <c r="D44" i="9" s="1"/>
  <c r="D45" i="9" a="1"/>
  <c r="D45" i="9" s="1"/>
  <c r="D46" i="9" a="1"/>
  <c r="D46" i="9" s="1"/>
  <c r="D47" i="9" a="1"/>
  <c r="D47" i="9" s="1"/>
  <c r="D48" i="9" a="1"/>
  <c r="D48" i="9" s="1"/>
  <c r="D49" i="9" a="1"/>
  <c r="D49" i="9" s="1"/>
  <c r="D50" i="9" a="1"/>
  <c r="D50" i="9" s="1"/>
  <c r="D51" i="9" a="1"/>
  <c r="D51" i="9" s="1"/>
  <c r="D52" i="9" a="1"/>
  <c r="D52" i="9" s="1"/>
  <c r="D53" i="9" a="1"/>
  <c r="D53" i="9" s="1"/>
  <c r="D54" i="9" a="1"/>
  <c r="D54" i="9" s="1"/>
  <c r="D55" i="9" a="1"/>
  <c r="D55" i="9" s="1"/>
  <c r="D56" i="9" a="1"/>
  <c r="D56" i="9" s="1"/>
  <c r="D57" i="9" a="1"/>
  <c r="D57" i="9" s="1"/>
  <c r="D58" i="9" a="1"/>
  <c r="D58" i="9" s="1"/>
  <c r="D59" i="9" a="1"/>
  <c r="D59" i="9" s="1"/>
  <c r="D60" i="9" a="1"/>
  <c r="D60" i="9" s="1"/>
  <c r="D61" i="9" a="1"/>
  <c r="D61" i="9" s="1"/>
  <c r="D62" i="9" a="1"/>
  <c r="D62" i="9" s="1"/>
  <c r="D63" i="9" a="1"/>
  <c r="D63" i="9" s="1"/>
  <c r="D64" i="9" a="1"/>
  <c r="D64" i="9" s="1"/>
  <c r="D65" i="9" a="1"/>
  <c r="D65" i="9" s="1"/>
  <c r="D66" i="9" a="1"/>
  <c r="D66" i="9" s="1"/>
  <c r="D67" i="9" a="1"/>
  <c r="D67" i="9" s="1"/>
  <c r="D68" i="9" a="1"/>
  <c r="D68" i="9" s="1"/>
  <c r="D69" i="9" a="1"/>
  <c r="D69" i="9" s="1"/>
  <c r="D70" i="9" a="1"/>
  <c r="D70" i="9" s="1"/>
  <c r="D71" i="9" a="1"/>
  <c r="D71" i="9" s="1"/>
  <c r="D72" i="9" a="1"/>
  <c r="D72" i="9" s="1"/>
  <c r="D73" i="9" a="1"/>
  <c r="D73" i="9" s="1"/>
  <c r="D74" i="9" a="1"/>
  <c r="D74" i="9" s="1"/>
  <c r="D75" i="9" a="1"/>
  <c r="D75" i="9" s="1"/>
  <c r="D76" i="9" a="1"/>
  <c r="D76" i="9" s="1"/>
  <c r="D77" i="9" a="1"/>
  <c r="D77" i="9" s="1"/>
  <c r="D78" i="9" a="1"/>
  <c r="D78" i="9" s="1"/>
  <c r="D79" i="9" a="1"/>
  <c r="D79" i="9" s="1"/>
  <c r="D80" i="9" a="1"/>
  <c r="D80" i="9" s="1"/>
  <c r="D81" i="9" a="1"/>
  <c r="D81" i="9" s="1"/>
  <c r="D82" i="9" a="1"/>
  <c r="D82" i="9" s="1"/>
  <c r="D83" i="9" a="1"/>
  <c r="D83" i="9" s="1"/>
  <c r="D84" i="9" a="1"/>
  <c r="D84" i="9" s="1"/>
  <c r="D85" i="9" a="1"/>
  <c r="D85" i="9" s="1"/>
  <c r="D86" i="9" a="1"/>
  <c r="D86" i="9" s="1"/>
  <c r="D87" i="9" a="1"/>
  <c r="D87" i="9" s="1"/>
  <c r="D88" i="9" a="1"/>
  <c r="D88" i="9" s="1"/>
  <c r="D89" i="9" a="1"/>
  <c r="D89" i="9" s="1"/>
  <c r="D90" i="9" a="1"/>
  <c r="D90" i="9" s="1"/>
  <c r="D91" i="9" a="1"/>
  <c r="D91" i="9" s="1"/>
  <c r="D92" i="9" a="1"/>
  <c r="D92" i="9" s="1"/>
  <c r="D93" i="9" a="1"/>
  <c r="D93" i="9" s="1"/>
  <c r="D94" i="9" a="1"/>
  <c r="D94" i="9" s="1"/>
  <c r="D95" i="9" a="1"/>
  <c r="D95" i="9" s="1"/>
  <c r="D96" i="9" a="1"/>
  <c r="D96" i="9" s="1"/>
  <c r="D97" i="9" a="1"/>
  <c r="D97" i="9" s="1"/>
  <c r="D98" i="9" a="1"/>
  <c r="D98" i="9" s="1"/>
  <c r="D99" i="9" a="1"/>
  <c r="D99" i="9" s="1"/>
  <c r="D100" i="9" a="1"/>
  <c r="D100" i="9" s="1"/>
  <c r="D2" i="9" a="1"/>
  <c r="D2" i="9" s="1"/>
  <c r="A2" i="9" a="1"/>
  <c r="A2" i="9" l="1"/>
  <c r="G6" i="9" a="1"/>
  <c r="G6" i="9" s="1"/>
  <c r="C3" i="9" a="1"/>
  <c r="C3" i="9" s="1"/>
  <c r="G5" i="9" a="1"/>
  <c r="G5" i="9" s="1"/>
  <c r="F3" i="9" a="1"/>
  <c r="F3" i="9" s="1"/>
  <c r="C3" i="2" s="1"/>
  <c r="C7" i="9" a="1"/>
  <c r="C7" i="9" s="1"/>
  <c r="C4" i="9" a="1"/>
  <c r="C4" i="9" s="1"/>
  <c r="C6" i="9" a="1"/>
  <c r="C6" i="9" s="1"/>
  <c r="F4" i="9" a="1"/>
  <c r="F4" i="9" s="1"/>
  <c r="C4" i="2" s="1"/>
  <c r="C8" i="9" a="1"/>
  <c r="C8" i="9" s="1"/>
  <c r="F7" i="9" a="1"/>
  <c r="F7" i="9" s="1"/>
  <c r="C7" i="2" s="1"/>
  <c r="F6" i="9" a="1"/>
  <c r="F6" i="9" s="1"/>
  <c r="C6" i="2" s="1"/>
  <c r="G8" i="9" a="1"/>
  <c r="G8" i="9" s="1"/>
  <c r="F8" i="9" a="1"/>
  <c r="F8" i="9" s="1"/>
  <c r="C8" i="2" s="1"/>
  <c r="F5" i="9" a="1"/>
  <c r="F5" i="9" s="1"/>
  <c r="C5" i="2" s="1"/>
  <c r="G7" i="9" a="1"/>
  <c r="G7" i="9" s="1"/>
  <c r="G4" i="9" a="1"/>
  <c r="G4" i="9" s="1"/>
  <c r="C5" i="9" a="1"/>
  <c r="C5" i="9" s="1"/>
  <c r="G3" i="9" a="1"/>
  <c r="G3" i="9" s="1"/>
  <c r="B3" i="3"/>
  <c r="C3" i="4" s="1"/>
  <c r="C6" i="3"/>
  <c r="C5" i="3"/>
  <c r="C4" i="3"/>
  <c r="C3" i="3"/>
  <c r="C8" i="3"/>
  <c r="C2" i="3"/>
  <c r="B8" i="3"/>
  <c r="B7" i="3"/>
  <c r="C7" i="4" s="1"/>
  <c r="B6" i="3"/>
  <c r="C6" i="4" s="1"/>
  <c r="B5" i="3"/>
  <c r="C5" i="4" s="1"/>
  <c r="B4" i="3"/>
  <c r="C4" i="4" s="1"/>
  <c r="C7" i="3"/>
  <c r="B2" i="3"/>
  <c r="L10" i="4"/>
  <c r="E31" i="6" s="1"/>
  <c r="L11" i="4"/>
  <c r="E32" i="6" s="1"/>
  <c r="L12" i="4"/>
  <c r="E33" i="6" s="1"/>
  <c r="L13" i="4"/>
  <c r="E34" i="6" s="1"/>
  <c r="L14" i="4"/>
  <c r="E35" i="6" s="1"/>
  <c r="L15" i="4"/>
  <c r="E36" i="6" s="1"/>
  <c r="L16" i="4"/>
  <c r="E37" i="6" s="1"/>
  <c r="L17" i="4"/>
  <c r="E38" i="6" s="1"/>
  <c r="L18" i="4"/>
  <c r="E39" i="6" s="1"/>
  <c r="L19" i="4"/>
  <c r="E40" i="6" s="1"/>
  <c r="L20" i="4"/>
  <c r="L21" i="4"/>
  <c r="L22" i="4"/>
  <c r="L23" i="4"/>
  <c r="L24" i="4"/>
  <c r="L25" i="4"/>
  <c r="L26" i="4"/>
  <c r="L27" i="4"/>
  <c r="L28" i="4"/>
  <c r="L29" i="4"/>
  <c r="L30" i="4"/>
  <c r="L31" i="4"/>
  <c r="L32" i="4"/>
  <c r="L33" i="4"/>
  <c r="L34" i="4"/>
  <c r="L35" i="4"/>
  <c r="L36" i="4"/>
  <c r="L37" i="4"/>
  <c r="L38" i="4"/>
  <c r="L39" i="4"/>
  <c r="L40" i="4"/>
  <c r="L41" i="4"/>
  <c r="L42" i="4"/>
  <c r="L43" i="4"/>
  <c r="L44" i="4"/>
  <c r="L45" i="4"/>
  <c r="L46" i="4"/>
  <c r="L47" i="4"/>
  <c r="L48" i="4"/>
  <c r="L49" i="4"/>
  <c r="L50" i="4"/>
  <c r="L51" i="4"/>
  <c r="L52" i="4"/>
  <c r="L53" i="4"/>
  <c r="L54" i="4"/>
  <c r="L55" i="4"/>
  <c r="L56" i="4"/>
  <c r="L57" i="4"/>
  <c r="L58" i="4"/>
  <c r="L59" i="4"/>
  <c r="L60" i="4"/>
  <c r="L61" i="4"/>
  <c r="L62" i="4"/>
  <c r="L63" i="4"/>
  <c r="L64" i="4"/>
  <c r="L65" i="4"/>
  <c r="L66" i="4"/>
  <c r="L67" i="4"/>
  <c r="L68" i="4"/>
  <c r="L69" i="4"/>
  <c r="L70" i="4"/>
  <c r="L71" i="4"/>
  <c r="L72" i="4"/>
  <c r="L73" i="4"/>
  <c r="L74" i="4"/>
  <c r="L75" i="4"/>
  <c r="L76" i="4"/>
  <c r="L77" i="4"/>
  <c r="L78" i="4"/>
  <c r="L79" i="4"/>
  <c r="L80" i="4"/>
  <c r="L81" i="4"/>
  <c r="L82" i="4"/>
  <c r="L83" i="4"/>
  <c r="L84" i="4"/>
  <c r="L85" i="4"/>
  <c r="L86" i="4"/>
  <c r="L87" i="4"/>
  <c r="L88" i="4"/>
  <c r="L89" i="4"/>
  <c r="L90" i="4"/>
  <c r="L91" i="4"/>
  <c r="L92" i="4"/>
  <c r="L93" i="4"/>
  <c r="L94" i="4"/>
  <c r="L95" i="4"/>
  <c r="L96" i="4"/>
  <c r="L97" i="4"/>
  <c r="L98" i="4"/>
  <c r="L99" i="4"/>
  <c r="L100" i="4"/>
  <c r="G10" i="4"/>
  <c r="G11" i="4"/>
  <c r="I11" i="4" s="1"/>
  <c r="G12" i="4"/>
  <c r="I12" i="4" s="1"/>
  <c r="G13" i="4"/>
  <c r="I13" i="4" s="1"/>
  <c r="G14" i="4"/>
  <c r="I14" i="4" s="1"/>
  <c r="G15" i="4"/>
  <c r="I15" i="4" s="1"/>
  <c r="G16" i="4"/>
  <c r="I16" i="4" s="1"/>
  <c r="G17" i="4"/>
  <c r="I17" i="4" s="1"/>
  <c r="G18" i="4"/>
  <c r="I18" i="4" s="1"/>
  <c r="G19" i="4"/>
  <c r="I19" i="4" s="1"/>
  <c r="G20" i="4"/>
  <c r="I20" i="4" s="1"/>
  <c r="G21" i="4"/>
  <c r="I21" i="4" s="1"/>
  <c r="G22" i="4"/>
  <c r="I22" i="4" s="1"/>
  <c r="G23" i="4"/>
  <c r="I23" i="4" s="1"/>
  <c r="G24" i="4"/>
  <c r="I24" i="4" s="1"/>
  <c r="G25" i="4"/>
  <c r="I25" i="4" s="1"/>
  <c r="G26" i="4"/>
  <c r="I26" i="4" s="1"/>
  <c r="G27" i="4"/>
  <c r="I27" i="4" s="1"/>
  <c r="G28" i="4"/>
  <c r="I28" i="4" s="1"/>
  <c r="G29" i="4"/>
  <c r="I29" i="4" s="1"/>
  <c r="G30" i="4"/>
  <c r="I30" i="4" s="1"/>
  <c r="G31" i="4"/>
  <c r="I31" i="4" s="1"/>
  <c r="G32" i="4"/>
  <c r="I32" i="4" s="1"/>
  <c r="G33" i="4"/>
  <c r="I33" i="4" s="1"/>
  <c r="G34" i="4"/>
  <c r="I34" i="4" s="1"/>
  <c r="G35" i="4"/>
  <c r="I35" i="4" s="1"/>
  <c r="G36" i="4"/>
  <c r="I36" i="4" s="1"/>
  <c r="G37" i="4"/>
  <c r="I37" i="4" s="1"/>
  <c r="G38" i="4"/>
  <c r="G39" i="4"/>
  <c r="I39" i="4" s="1"/>
  <c r="G40" i="4"/>
  <c r="I40" i="4" s="1"/>
  <c r="G41" i="4"/>
  <c r="I41" i="4" s="1"/>
  <c r="G42" i="4"/>
  <c r="I42" i="4" s="1"/>
  <c r="G43" i="4"/>
  <c r="I43" i="4" s="1"/>
  <c r="G44" i="4"/>
  <c r="I44" i="4" s="1"/>
  <c r="G45" i="4"/>
  <c r="I45" i="4" s="1"/>
  <c r="G46" i="4"/>
  <c r="I46" i="4" s="1"/>
  <c r="G47" i="4"/>
  <c r="I47" i="4" s="1"/>
  <c r="G48" i="4"/>
  <c r="I48" i="4" s="1"/>
  <c r="G49" i="4"/>
  <c r="I49" i="4" s="1"/>
  <c r="G50" i="4"/>
  <c r="I50" i="4" s="1"/>
  <c r="G51" i="4"/>
  <c r="I51" i="4" s="1"/>
  <c r="G52" i="4"/>
  <c r="I52" i="4" s="1"/>
  <c r="G53" i="4"/>
  <c r="I53" i="4" s="1"/>
  <c r="G54" i="4"/>
  <c r="I54" i="4" s="1"/>
  <c r="G55" i="4"/>
  <c r="I55" i="4" s="1"/>
  <c r="G56" i="4"/>
  <c r="I56" i="4" s="1"/>
  <c r="G57" i="4"/>
  <c r="I57" i="4" s="1"/>
  <c r="G58" i="4"/>
  <c r="I58" i="4" s="1"/>
  <c r="G59" i="4"/>
  <c r="I59" i="4" s="1"/>
  <c r="G60" i="4"/>
  <c r="I60" i="4" s="1"/>
  <c r="G61" i="4"/>
  <c r="I61" i="4" s="1"/>
  <c r="G62" i="4"/>
  <c r="I62" i="4" s="1"/>
  <c r="G63" i="4"/>
  <c r="I63" i="4" s="1"/>
  <c r="G64" i="4"/>
  <c r="I64" i="4" s="1"/>
  <c r="G65" i="4"/>
  <c r="I65" i="4" s="1"/>
  <c r="G66" i="4"/>
  <c r="I66" i="4" s="1"/>
  <c r="G67" i="4"/>
  <c r="I67" i="4" s="1"/>
  <c r="G68" i="4"/>
  <c r="I68" i="4" s="1"/>
  <c r="G69" i="4"/>
  <c r="I69" i="4" s="1"/>
  <c r="G70" i="4"/>
  <c r="I70" i="4" s="1"/>
  <c r="G71" i="4"/>
  <c r="I71" i="4" s="1"/>
  <c r="G72" i="4"/>
  <c r="I72" i="4" s="1"/>
  <c r="G73" i="4"/>
  <c r="I73" i="4" s="1"/>
  <c r="G74" i="4"/>
  <c r="I74" i="4" s="1"/>
  <c r="G75" i="4"/>
  <c r="I75" i="4" s="1"/>
  <c r="G76" i="4"/>
  <c r="I76" i="4" s="1"/>
  <c r="G77" i="4"/>
  <c r="I77" i="4" s="1"/>
  <c r="G78" i="4"/>
  <c r="I78" i="4" s="1"/>
  <c r="G79" i="4"/>
  <c r="I79" i="4" s="1"/>
  <c r="G80" i="4"/>
  <c r="I80" i="4" s="1"/>
  <c r="G81" i="4"/>
  <c r="I81" i="4" s="1"/>
  <c r="G82" i="4"/>
  <c r="I82" i="4" s="1"/>
  <c r="G83" i="4"/>
  <c r="I83" i="4" s="1"/>
  <c r="G84" i="4"/>
  <c r="I84" i="4" s="1"/>
  <c r="G85" i="4"/>
  <c r="I85" i="4" s="1"/>
  <c r="G86" i="4"/>
  <c r="I86" i="4" s="1"/>
  <c r="G87" i="4"/>
  <c r="I87" i="4" s="1"/>
  <c r="G88" i="4"/>
  <c r="I88" i="4" s="1"/>
  <c r="G89" i="4"/>
  <c r="I89" i="4" s="1"/>
  <c r="G90" i="4"/>
  <c r="I90" i="4" s="1"/>
  <c r="G91" i="4"/>
  <c r="I91" i="4" s="1"/>
  <c r="G92" i="4"/>
  <c r="I92" i="4" s="1"/>
  <c r="G93" i="4"/>
  <c r="I93" i="4" s="1"/>
  <c r="G94" i="4"/>
  <c r="G95" i="4"/>
  <c r="I95" i="4" s="1"/>
  <c r="G96" i="4"/>
  <c r="I96" i="4" s="1"/>
  <c r="G97" i="4"/>
  <c r="I97" i="4" s="1"/>
  <c r="G98" i="4"/>
  <c r="I98" i="4" s="1"/>
  <c r="G99" i="4"/>
  <c r="I99" i="4" s="1"/>
  <c r="G100" i="4"/>
  <c r="I100" i="4" s="1"/>
  <c r="D12" i="7"/>
  <c r="D13" i="7"/>
  <c r="D14" i="7"/>
  <c r="D15" i="7"/>
  <c r="D16" i="7"/>
  <c r="D17" i="7"/>
  <c r="D18" i="7"/>
  <c r="D19" i="7"/>
  <c r="D20" i="7"/>
  <c r="D21" i="7"/>
  <c r="D22" i="7"/>
  <c r="D23" i="7"/>
  <c r="D24" i="7"/>
  <c r="D25" i="7"/>
  <c r="D26" i="7"/>
  <c r="D27" i="7"/>
  <c r="D28" i="7"/>
  <c r="D29" i="7"/>
  <c r="D30" i="7"/>
  <c r="D31" i="7"/>
  <c r="D32" i="7"/>
  <c r="D33" i="7"/>
  <c r="D34" i="7"/>
  <c r="D35" i="7"/>
  <c r="D36" i="7"/>
  <c r="D37" i="7"/>
  <c r="D38" i="7"/>
  <c r="D39" i="7"/>
  <c r="D40" i="7"/>
  <c r="D41" i="7"/>
  <c r="D42" i="7"/>
  <c r="D43" i="7"/>
  <c r="D44" i="7"/>
  <c r="D45" i="7"/>
  <c r="D46" i="7"/>
  <c r="D47" i="7"/>
  <c r="D48" i="7"/>
  <c r="D49" i="7"/>
  <c r="D50" i="7"/>
  <c r="D51" i="7"/>
  <c r="D52" i="7"/>
  <c r="D53" i="7"/>
  <c r="D54" i="7"/>
  <c r="D55" i="7"/>
  <c r="D56" i="7"/>
  <c r="D57" i="7"/>
  <c r="D58" i="7"/>
  <c r="D59" i="7"/>
  <c r="D60" i="7"/>
  <c r="D61" i="7"/>
  <c r="D62" i="7"/>
  <c r="D63" i="7"/>
  <c r="D64" i="7"/>
  <c r="D65" i="7"/>
  <c r="D66" i="7"/>
  <c r="D67" i="7"/>
  <c r="D68" i="7"/>
  <c r="D69" i="7"/>
  <c r="D70" i="7"/>
  <c r="D71" i="7"/>
  <c r="D72" i="7"/>
  <c r="D73" i="7"/>
  <c r="D74" i="7"/>
  <c r="D75" i="7"/>
  <c r="D76" i="7"/>
  <c r="D77" i="7"/>
  <c r="D78" i="7"/>
  <c r="D79" i="7"/>
  <c r="D80" i="7"/>
  <c r="D81" i="7"/>
  <c r="D82" i="7"/>
  <c r="D83" i="7"/>
  <c r="D84" i="7"/>
  <c r="D85" i="7"/>
  <c r="D86" i="7"/>
  <c r="D87" i="7"/>
  <c r="D88" i="7"/>
  <c r="D89" i="7"/>
  <c r="D90" i="7"/>
  <c r="D91" i="7"/>
  <c r="D92" i="7"/>
  <c r="D93" i="7"/>
  <c r="D94" i="7"/>
  <c r="D95" i="7"/>
  <c r="D96" i="7"/>
  <c r="D97" i="7"/>
  <c r="D98" i="7"/>
  <c r="D99" i="7"/>
  <c r="D100" i="7"/>
  <c r="D10" i="7"/>
  <c r="D11" i="7"/>
  <c r="A2" i="7" a="1"/>
  <c r="C9" i="7" s="1"/>
  <c r="F10" i="4"/>
  <c r="F11" i="4"/>
  <c r="F12" i="4"/>
  <c r="F13" i="4"/>
  <c r="F14" i="4"/>
  <c r="F15" i="4"/>
  <c r="F16" i="4"/>
  <c r="F17" i="4"/>
  <c r="F18" i="4"/>
  <c r="F19" i="4"/>
  <c r="F20" i="4"/>
  <c r="F21" i="4"/>
  <c r="F22" i="4"/>
  <c r="F23" i="4"/>
  <c r="F24" i="4"/>
  <c r="F25" i="4"/>
  <c r="F26" i="4"/>
  <c r="F27" i="4"/>
  <c r="F28" i="4"/>
  <c r="F29" i="4"/>
  <c r="F30" i="4"/>
  <c r="F31" i="4"/>
  <c r="F32" i="4"/>
  <c r="F33" i="4"/>
  <c r="F34" i="4"/>
  <c r="F35" i="4"/>
  <c r="F36" i="4"/>
  <c r="F37" i="4"/>
  <c r="F38" i="4"/>
  <c r="F39" i="4"/>
  <c r="F40" i="4"/>
  <c r="F41" i="4"/>
  <c r="F42" i="4"/>
  <c r="F43" i="4"/>
  <c r="F44" i="4"/>
  <c r="F45" i="4"/>
  <c r="F46" i="4"/>
  <c r="F47" i="4"/>
  <c r="F48" i="4"/>
  <c r="F49" i="4"/>
  <c r="F50" i="4"/>
  <c r="F51" i="4"/>
  <c r="F52" i="4"/>
  <c r="F53" i="4"/>
  <c r="F54" i="4"/>
  <c r="F55" i="4"/>
  <c r="F56" i="4"/>
  <c r="F57" i="4"/>
  <c r="F58" i="4"/>
  <c r="F59" i="4"/>
  <c r="F60" i="4"/>
  <c r="F61" i="4"/>
  <c r="F62" i="4"/>
  <c r="F63" i="4"/>
  <c r="F64" i="4"/>
  <c r="F65" i="4"/>
  <c r="F66" i="4"/>
  <c r="F67" i="4"/>
  <c r="F68" i="4"/>
  <c r="F69" i="4"/>
  <c r="F70" i="4"/>
  <c r="F71" i="4"/>
  <c r="F72" i="4"/>
  <c r="F73" i="4"/>
  <c r="F74" i="4"/>
  <c r="F75" i="4"/>
  <c r="F76" i="4"/>
  <c r="F77" i="4"/>
  <c r="F78" i="4"/>
  <c r="F79" i="4"/>
  <c r="F80" i="4"/>
  <c r="F81" i="4"/>
  <c r="F82" i="4"/>
  <c r="F83" i="4"/>
  <c r="F84" i="4"/>
  <c r="F85" i="4"/>
  <c r="F86" i="4"/>
  <c r="F87" i="4"/>
  <c r="F88" i="4"/>
  <c r="F89" i="4"/>
  <c r="F90" i="4"/>
  <c r="F91" i="4"/>
  <c r="F92" i="4"/>
  <c r="F93" i="4"/>
  <c r="F94" i="4"/>
  <c r="F95" i="4"/>
  <c r="F96" i="4"/>
  <c r="F97" i="4"/>
  <c r="F98" i="4"/>
  <c r="F99" i="4"/>
  <c r="F100" i="4"/>
  <c r="B10" i="4"/>
  <c r="D10" i="4" s="1"/>
  <c r="C31" i="6" s="1"/>
  <c r="B11" i="4"/>
  <c r="D11" i="4" s="1"/>
  <c r="C32" i="6" s="1"/>
  <c r="B12" i="4"/>
  <c r="D12" i="4" s="1"/>
  <c r="C33" i="6" s="1"/>
  <c r="B13" i="4"/>
  <c r="D13" i="4" s="1"/>
  <c r="C34" i="6" s="1"/>
  <c r="B14" i="4"/>
  <c r="B35" i="6" s="1"/>
  <c r="B15" i="4"/>
  <c r="D15" i="4" s="1"/>
  <c r="C36" i="6" s="1"/>
  <c r="B16" i="4"/>
  <c r="B37" i="6" s="1"/>
  <c r="B17" i="4"/>
  <c r="D17" i="4" s="1"/>
  <c r="C38" i="6" s="1"/>
  <c r="B18" i="4"/>
  <c r="D18" i="4" s="1"/>
  <c r="C39" i="6" s="1"/>
  <c r="B19" i="4"/>
  <c r="D19" i="4" s="1"/>
  <c r="C40" i="6" s="1"/>
  <c r="B20" i="4"/>
  <c r="D20" i="4" s="1"/>
  <c r="B21" i="4"/>
  <c r="D21" i="4" s="1"/>
  <c r="B22" i="4"/>
  <c r="D22" i="4" s="1"/>
  <c r="B23" i="4"/>
  <c r="D23" i="4" s="1"/>
  <c r="B24" i="4"/>
  <c r="D24" i="4" s="1"/>
  <c r="B25" i="4"/>
  <c r="D25" i="4" s="1"/>
  <c r="B26" i="4"/>
  <c r="D26" i="4" s="1"/>
  <c r="B27" i="4"/>
  <c r="D27" i="4" s="1"/>
  <c r="B28" i="4"/>
  <c r="D28" i="4" s="1"/>
  <c r="B29" i="4"/>
  <c r="D29" i="4" s="1"/>
  <c r="B30" i="4"/>
  <c r="D30" i="4" s="1"/>
  <c r="B31" i="4"/>
  <c r="D31" i="4" s="1"/>
  <c r="B32" i="4"/>
  <c r="D32" i="4" s="1"/>
  <c r="B33" i="4"/>
  <c r="D33" i="4" s="1"/>
  <c r="B34" i="4"/>
  <c r="D34" i="4" s="1"/>
  <c r="B35" i="4"/>
  <c r="D35" i="4" s="1"/>
  <c r="B36" i="4"/>
  <c r="D36" i="4" s="1"/>
  <c r="B37" i="4"/>
  <c r="D37" i="4" s="1"/>
  <c r="B38" i="4"/>
  <c r="D38" i="4" s="1"/>
  <c r="B39" i="4"/>
  <c r="D39" i="4" s="1"/>
  <c r="B40" i="4"/>
  <c r="D40" i="4" s="1"/>
  <c r="B41" i="4"/>
  <c r="D41" i="4" s="1"/>
  <c r="B42" i="4"/>
  <c r="D42" i="4" s="1"/>
  <c r="B43" i="4"/>
  <c r="D43" i="4" s="1"/>
  <c r="B44" i="4"/>
  <c r="D44" i="4" s="1"/>
  <c r="B45" i="4"/>
  <c r="D45" i="4" s="1"/>
  <c r="B46" i="4"/>
  <c r="D46" i="4" s="1"/>
  <c r="B47" i="4"/>
  <c r="D47" i="4" s="1"/>
  <c r="B48" i="4"/>
  <c r="D48" i="4" s="1"/>
  <c r="B49" i="4"/>
  <c r="D49" i="4" s="1"/>
  <c r="B50" i="4"/>
  <c r="D50" i="4" s="1"/>
  <c r="B51" i="4"/>
  <c r="D51" i="4" s="1"/>
  <c r="B52" i="4"/>
  <c r="D52" i="4" s="1"/>
  <c r="B53" i="4"/>
  <c r="D53" i="4" s="1"/>
  <c r="B54" i="4"/>
  <c r="D54" i="4" s="1"/>
  <c r="B55" i="4"/>
  <c r="D55" i="4" s="1"/>
  <c r="B56" i="4"/>
  <c r="D56" i="4" s="1"/>
  <c r="B57" i="4"/>
  <c r="D57" i="4" s="1"/>
  <c r="B58" i="4"/>
  <c r="D58" i="4" s="1"/>
  <c r="B59" i="4"/>
  <c r="D59" i="4" s="1"/>
  <c r="B60" i="4"/>
  <c r="D60" i="4" s="1"/>
  <c r="B61" i="4"/>
  <c r="D61" i="4" s="1"/>
  <c r="B62" i="4"/>
  <c r="D62" i="4" s="1"/>
  <c r="B63" i="4"/>
  <c r="D63" i="4" s="1"/>
  <c r="B64" i="4"/>
  <c r="D64" i="4" s="1"/>
  <c r="B65" i="4"/>
  <c r="D65" i="4" s="1"/>
  <c r="B66" i="4"/>
  <c r="D66" i="4" s="1"/>
  <c r="B67" i="4"/>
  <c r="D67" i="4" s="1"/>
  <c r="B68" i="4"/>
  <c r="D68" i="4" s="1"/>
  <c r="B69" i="4"/>
  <c r="D69" i="4" s="1"/>
  <c r="B70" i="4"/>
  <c r="D70" i="4" s="1"/>
  <c r="B71" i="4"/>
  <c r="D71" i="4" s="1"/>
  <c r="B72" i="4"/>
  <c r="D72" i="4" s="1"/>
  <c r="B73" i="4"/>
  <c r="D73" i="4" s="1"/>
  <c r="B74" i="4"/>
  <c r="D74" i="4" s="1"/>
  <c r="B75" i="4"/>
  <c r="D75" i="4" s="1"/>
  <c r="B76" i="4"/>
  <c r="D76" i="4" s="1"/>
  <c r="B77" i="4"/>
  <c r="D77" i="4" s="1"/>
  <c r="B78" i="4"/>
  <c r="D78" i="4" s="1"/>
  <c r="B79" i="4"/>
  <c r="D79" i="4" s="1"/>
  <c r="B80" i="4"/>
  <c r="D80" i="4" s="1"/>
  <c r="B81" i="4"/>
  <c r="D81" i="4" s="1"/>
  <c r="B82" i="4"/>
  <c r="D82" i="4" s="1"/>
  <c r="B83" i="4"/>
  <c r="D83" i="4" s="1"/>
  <c r="B84" i="4"/>
  <c r="D84" i="4" s="1"/>
  <c r="B85" i="4"/>
  <c r="D85" i="4" s="1"/>
  <c r="B86" i="4"/>
  <c r="D86" i="4" s="1"/>
  <c r="B87" i="4"/>
  <c r="D87" i="4" s="1"/>
  <c r="B88" i="4"/>
  <c r="D88" i="4" s="1"/>
  <c r="B89" i="4"/>
  <c r="D89" i="4" s="1"/>
  <c r="B90" i="4"/>
  <c r="D90" i="4" s="1"/>
  <c r="B91" i="4"/>
  <c r="D91" i="4" s="1"/>
  <c r="B92" i="4"/>
  <c r="D92" i="4" s="1"/>
  <c r="B93" i="4"/>
  <c r="D93" i="4" s="1"/>
  <c r="B94" i="4"/>
  <c r="D94" i="4" s="1"/>
  <c r="B95" i="4"/>
  <c r="D95" i="4" s="1"/>
  <c r="B96" i="4"/>
  <c r="D96" i="4" s="1"/>
  <c r="B97" i="4"/>
  <c r="D97" i="4" s="1"/>
  <c r="B98" i="4"/>
  <c r="D98" i="4" s="1"/>
  <c r="B99" i="4"/>
  <c r="D99" i="4" s="1"/>
  <c r="B100" i="4"/>
  <c r="D100" i="4" s="1"/>
  <c r="A31" i="6"/>
  <c r="A32" i="6"/>
  <c r="A33" i="6"/>
  <c r="A34" i="6"/>
  <c r="A35" i="6"/>
  <c r="A36" i="6"/>
  <c r="A37" i="6"/>
  <c r="A38" i="6"/>
  <c r="A39" i="6"/>
  <c r="A40" i="6"/>
  <c r="H9" i="1"/>
  <c r="A2" i="4" a="1"/>
  <c r="F8" i="4" s="1"/>
  <c r="H2" i="1"/>
  <c r="H3" i="1"/>
  <c r="H4" i="1"/>
  <c r="H5" i="1"/>
  <c r="H6" i="1"/>
  <c r="H7" i="1"/>
  <c r="H8" i="1"/>
  <c r="E1" i="6"/>
  <c r="C3" i="7" l="1"/>
  <c r="C7" i="7"/>
  <c r="C4" i="7"/>
  <c r="C5" i="7"/>
  <c r="C6" i="7"/>
  <c r="C8" i="7"/>
  <c r="F2" i="9" a="1"/>
  <c r="F2" i="9" s="1"/>
  <c r="C2" i="2" s="1"/>
  <c r="C2" i="9" a="1"/>
  <c r="C2" i="9" s="1"/>
  <c r="B2" i="2" s="1" a="1"/>
  <c r="B2" i="2" s="1"/>
  <c r="G2" i="9" a="1"/>
  <c r="G2" i="9" s="1"/>
  <c r="C9" i="3"/>
  <c r="H1" i="6" s="1"/>
  <c r="B9" i="3"/>
  <c r="E8" i="7"/>
  <c r="C8" i="4"/>
  <c r="E3" i="7"/>
  <c r="E4" i="7"/>
  <c r="E5" i="7"/>
  <c r="E7" i="7"/>
  <c r="E6" i="7"/>
  <c r="D9" i="7"/>
  <c r="B9" i="4"/>
  <c r="A30" i="6"/>
  <c r="F9" i="4"/>
  <c r="G9" i="4"/>
  <c r="I9" i="4" s="1"/>
  <c r="H16" i="4"/>
  <c r="H15" i="4"/>
  <c r="J15" i="4" s="1"/>
  <c r="K15" i="4" s="1"/>
  <c r="D36" i="6" s="1"/>
  <c r="H94" i="4"/>
  <c r="J94" i="4" s="1"/>
  <c r="H38" i="4"/>
  <c r="J38" i="4" s="1"/>
  <c r="H10" i="4"/>
  <c r="J10" i="4" s="1"/>
  <c r="H80" i="4"/>
  <c r="J80" i="4" s="1"/>
  <c r="K80" i="4" s="1"/>
  <c r="H74" i="4"/>
  <c r="J74" i="4" s="1"/>
  <c r="K74" i="4" s="1"/>
  <c r="H73" i="4"/>
  <c r="J73" i="4" s="1"/>
  <c r="K73" i="4" s="1"/>
  <c r="H72" i="4"/>
  <c r="J72" i="4" s="1"/>
  <c r="K72" i="4" s="1"/>
  <c r="H71" i="4"/>
  <c r="J71" i="4" s="1"/>
  <c r="K71" i="4" s="1"/>
  <c r="H46" i="4"/>
  <c r="J46" i="4" s="1"/>
  <c r="K46" i="4" s="1"/>
  <c r="H45" i="4"/>
  <c r="J45" i="4" s="1"/>
  <c r="K45" i="4" s="1"/>
  <c r="H44" i="4"/>
  <c r="J44" i="4" s="1"/>
  <c r="K44" i="4" s="1"/>
  <c r="H81" i="4"/>
  <c r="J81" i="4" s="1"/>
  <c r="K81" i="4" s="1"/>
  <c r="H43" i="4"/>
  <c r="J43" i="4" s="1"/>
  <c r="K43" i="4" s="1"/>
  <c r="H32" i="4"/>
  <c r="J32" i="4" s="1"/>
  <c r="K32" i="4" s="1"/>
  <c r="H100" i="4"/>
  <c r="J100" i="4" s="1"/>
  <c r="K100" i="4" s="1"/>
  <c r="H67" i="4"/>
  <c r="J67" i="4" s="1"/>
  <c r="K67" i="4" s="1"/>
  <c r="I10" i="4"/>
  <c r="H99" i="4"/>
  <c r="J99" i="4" s="1"/>
  <c r="K99" i="4" s="1"/>
  <c r="H66" i="4"/>
  <c r="J66" i="4" s="1"/>
  <c r="K66" i="4" s="1"/>
  <c r="H31" i="4"/>
  <c r="J31" i="4" s="1"/>
  <c r="K31" i="4" s="1"/>
  <c r="H11" i="4"/>
  <c r="J11" i="4" s="1"/>
  <c r="K11" i="4" s="1"/>
  <c r="D32" i="6" s="1"/>
  <c r="A29" i="6"/>
  <c r="D8" i="7"/>
  <c r="G8" i="4"/>
  <c r="I8" i="4" s="1"/>
  <c r="H39" i="4"/>
  <c r="J39" i="4" s="1"/>
  <c r="K39" i="4" s="1"/>
  <c r="B8" i="4"/>
  <c r="B29" i="6" s="1"/>
  <c r="H60" i="4"/>
  <c r="J60" i="4" s="1"/>
  <c r="K60" i="4" s="1"/>
  <c r="H88" i="4"/>
  <c r="J88" i="4" s="1"/>
  <c r="K88" i="4" s="1"/>
  <c r="H58" i="4"/>
  <c r="J58" i="4" s="1"/>
  <c r="K58" i="4" s="1"/>
  <c r="H25" i="4"/>
  <c r="J25" i="4" s="1"/>
  <c r="K25" i="4" s="1"/>
  <c r="I38" i="4"/>
  <c r="H95" i="4"/>
  <c r="J95" i="4" s="1"/>
  <c r="K95" i="4" s="1"/>
  <c r="H87" i="4"/>
  <c r="J87" i="4" s="1"/>
  <c r="K87" i="4" s="1"/>
  <c r="H57" i="4"/>
  <c r="J57" i="4" s="1"/>
  <c r="K57" i="4" s="1"/>
  <c r="H24" i="4"/>
  <c r="J24" i="4" s="1"/>
  <c r="K24" i="4" s="1"/>
  <c r="I94" i="4"/>
  <c r="H30" i="4"/>
  <c r="J30" i="4" s="1"/>
  <c r="K30" i="4" s="1"/>
  <c r="H59" i="4"/>
  <c r="J59" i="4" s="1"/>
  <c r="K59" i="4" s="1"/>
  <c r="H29" i="4"/>
  <c r="J29" i="4" s="1"/>
  <c r="K29" i="4" s="1"/>
  <c r="H86" i="4"/>
  <c r="J86" i="4" s="1"/>
  <c r="K86" i="4" s="1"/>
  <c r="H53" i="4"/>
  <c r="J53" i="4" s="1"/>
  <c r="K53" i="4" s="1"/>
  <c r="H18" i="4"/>
  <c r="J18" i="4" s="1"/>
  <c r="K18" i="4" s="1"/>
  <c r="D39" i="6" s="1"/>
  <c r="H85" i="4"/>
  <c r="J85" i="4" s="1"/>
  <c r="K85" i="4" s="1"/>
  <c r="H52" i="4"/>
  <c r="J52" i="4" s="1"/>
  <c r="K52" i="4" s="1"/>
  <c r="H17" i="4"/>
  <c r="J17" i="4" s="1"/>
  <c r="K17" i="4" s="1"/>
  <c r="D38" i="6" s="1"/>
  <c r="A2" i="7"/>
  <c r="D4" i="7"/>
  <c r="D5" i="7"/>
  <c r="D6" i="7"/>
  <c r="D7" i="7"/>
  <c r="G7" i="4"/>
  <c r="I7" i="4" s="1"/>
  <c r="G3" i="4"/>
  <c r="I3" i="4" s="1"/>
  <c r="D3" i="7"/>
  <c r="G6" i="4"/>
  <c r="I6" i="4" s="1"/>
  <c r="G5" i="4"/>
  <c r="I5" i="4" s="1"/>
  <c r="H98" i="4"/>
  <c r="J98" i="4" s="1"/>
  <c r="K98" i="4" s="1"/>
  <c r="H84" i="4"/>
  <c r="J84" i="4" s="1"/>
  <c r="K84" i="4" s="1"/>
  <c r="H70" i="4"/>
  <c r="J70" i="4" s="1"/>
  <c r="K70" i="4" s="1"/>
  <c r="H56" i="4"/>
  <c r="J56" i="4" s="1"/>
  <c r="K56" i="4" s="1"/>
  <c r="H42" i="4"/>
  <c r="J42" i="4" s="1"/>
  <c r="K42" i="4" s="1"/>
  <c r="H28" i="4"/>
  <c r="J28" i="4" s="1"/>
  <c r="K28" i="4" s="1"/>
  <c r="H14" i="4"/>
  <c r="G4" i="4"/>
  <c r="I4" i="4" s="1"/>
  <c r="H97" i="4"/>
  <c r="J97" i="4" s="1"/>
  <c r="K97" i="4" s="1"/>
  <c r="H83" i="4"/>
  <c r="J83" i="4" s="1"/>
  <c r="K83" i="4" s="1"/>
  <c r="H69" i="4"/>
  <c r="J69" i="4" s="1"/>
  <c r="K69" i="4" s="1"/>
  <c r="H55" i="4"/>
  <c r="J55" i="4" s="1"/>
  <c r="K55" i="4" s="1"/>
  <c r="H41" i="4"/>
  <c r="J41" i="4" s="1"/>
  <c r="K41" i="4" s="1"/>
  <c r="H27" i="4"/>
  <c r="J27" i="4" s="1"/>
  <c r="K27" i="4" s="1"/>
  <c r="H13" i="4"/>
  <c r="J13" i="4" s="1"/>
  <c r="K13" i="4" s="1"/>
  <c r="D34" i="6" s="1"/>
  <c r="H40" i="4"/>
  <c r="J40" i="4" s="1"/>
  <c r="K40" i="4" s="1"/>
  <c r="H26" i="4"/>
  <c r="J26" i="4" s="1"/>
  <c r="K26" i="4" s="1"/>
  <c r="H92" i="4"/>
  <c r="J92" i="4" s="1"/>
  <c r="K92" i="4" s="1"/>
  <c r="H78" i="4"/>
  <c r="J78" i="4" s="1"/>
  <c r="K78" i="4" s="1"/>
  <c r="H64" i="4"/>
  <c r="J64" i="4" s="1"/>
  <c r="K64" i="4" s="1"/>
  <c r="H50" i="4"/>
  <c r="J50" i="4" s="1"/>
  <c r="K50" i="4" s="1"/>
  <c r="H36" i="4"/>
  <c r="J36" i="4" s="1"/>
  <c r="K36" i="4" s="1"/>
  <c r="H22" i="4"/>
  <c r="J22" i="4" s="1"/>
  <c r="K22" i="4" s="1"/>
  <c r="H96" i="4"/>
  <c r="J96" i="4" s="1"/>
  <c r="K96" i="4" s="1"/>
  <c r="H82" i="4"/>
  <c r="J82" i="4" s="1"/>
  <c r="K82" i="4" s="1"/>
  <c r="H68" i="4"/>
  <c r="J68" i="4" s="1"/>
  <c r="K68" i="4" s="1"/>
  <c r="H54" i="4"/>
  <c r="J54" i="4" s="1"/>
  <c r="K54" i="4" s="1"/>
  <c r="H12" i="4"/>
  <c r="J12" i="4" s="1"/>
  <c r="K12" i="4" s="1"/>
  <c r="D33" i="6" s="1"/>
  <c r="H93" i="4"/>
  <c r="J93" i="4" s="1"/>
  <c r="K93" i="4" s="1"/>
  <c r="H79" i="4"/>
  <c r="J79" i="4" s="1"/>
  <c r="K79" i="4" s="1"/>
  <c r="H65" i="4"/>
  <c r="J65" i="4" s="1"/>
  <c r="K65" i="4" s="1"/>
  <c r="H51" i="4"/>
  <c r="J51" i="4" s="1"/>
  <c r="K51" i="4" s="1"/>
  <c r="H37" i="4"/>
  <c r="J37" i="4" s="1"/>
  <c r="K37" i="4" s="1"/>
  <c r="H23" i="4"/>
  <c r="J23" i="4" s="1"/>
  <c r="K23" i="4" s="1"/>
  <c r="B34" i="6"/>
  <c r="H91" i="4"/>
  <c r="J91" i="4" s="1"/>
  <c r="K91" i="4" s="1"/>
  <c r="H77" i="4"/>
  <c r="J77" i="4" s="1"/>
  <c r="K77" i="4" s="1"/>
  <c r="H63" i="4"/>
  <c r="J63" i="4" s="1"/>
  <c r="K63" i="4" s="1"/>
  <c r="H49" i="4"/>
  <c r="J49" i="4" s="1"/>
  <c r="K49" i="4" s="1"/>
  <c r="H35" i="4"/>
  <c r="J35" i="4" s="1"/>
  <c r="K35" i="4" s="1"/>
  <c r="H21" i="4"/>
  <c r="J21" i="4" s="1"/>
  <c r="K21" i="4" s="1"/>
  <c r="H90" i="4"/>
  <c r="J90" i="4" s="1"/>
  <c r="K90" i="4" s="1"/>
  <c r="H76" i="4"/>
  <c r="J76" i="4" s="1"/>
  <c r="K76" i="4" s="1"/>
  <c r="H62" i="4"/>
  <c r="J62" i="4" s="1"/>
  <c r="K62" i="4" s="1"/>
  <c r="H48" i="4"/>
  <c r="J48" i="4" s="1"/>
  <c r="K48" i="4" s="1"/>
  <c r="H34" i="4"/>
  <c r="J34" i="4" s="1"/>
  <c r="K34" i="4" s="1"/>
  <c r="H20" i="4"/>
  <c r="J20" i="4" s="1"/>
  <c r="K20" i="4" s="1"/>
  <c r="H89" i="4"/>
  <c r="J89" i="4" s="1"/>
  <c r="K89" i="4" s="1"/>
  <c r="H75" i="4"/>
  <c r="J75" i="4" s="1"/>
  <c r="K75" i="4" s="1"/>
  <c r="H61" i="4"/>
  <c r="J61" i="4" s="1"/>
  <c r="K61" i="4" s="1"/>
  <c r="H47" i="4"/>
  <c r="J47" i="4" s="1"/>
  <c r="K47" i="4" s="1"/>
  <c r="H33" i="4"/>
  <c r="J33" i="4" s="1"/>
  <c r="K33" i="4" s="1"/>
  <c r="H19" i="4"/>
  <c r="J19" i="4" s="1"/>
  <c r="K19" i="4" s="1"/>
  <c r="D40" i="6" s="1"/>
  <c r="B36" i="6"/>
  <c r="D14" i="4"/>
  <c r="C35" i="6" s="1"/>
  <c r="A24" i="6"/>
  <c r="B40" i="6"/>
  <c r="A25" i="6"/>
  <c r="B39" i="6"/>
  <c r="F7" i="4"/>
  <c r="B38" i="6"/>
  <c r="A28" i="6"/>
  <c r="B7" i="4"/>
  <c r="A27" i="6"/>
  <c r="D16" i="4"/>
  <c r="C37" i="6" s="1"/>
  <c r="B33" i="6"/>
  <c r="A26" i="6"/>
  <c r="B32" i="6"/>
  <c r="B31" i="6"/>
  <c r="A2" i="4"/>
  <c r="C2" i="4" s="1"/>
  <c r="F6" i="4"/>
  <c r="B6" i="4"/>
  <c r="B5" i="4"/>
  <c r="B4" i="4"/>
  <c r="B3" i="4"/>
  <c r="F5" i="4"/>
  <c r="F4" i="4"/>
  <c r="F3" i="4"/>
  <c r="E9" i="7" l="1"/>
  <c r="C9" i="4"/>
  <c r="D9" i="4" s="1"/>
  <c r="C30" i="6" s="1"/>
  <c r="E2" i="7"/>
  <c r="C2" i="7"/>
  <c r="B30" i="6"/>
  <c r="H9" i="4"/>
  <c r="F2" i="4"/>
  <c r="K38" i="4"/>
  <c r="K10" i="4"/>
  <c r="D31" i="6" s="1"/>
  <c r="K94" i="4"/>
  <c r="J16" i="4"/>
  <c r="K16" i="4" s="1"/>
  <c r="D37" i="6" s="1"/>
  <c r="J14" i="4"/>
  <c r="K14" i="4" s="1"/>
  <c r="D35" i="6" s="1"/>
  <c r="D8" i="4"/>
  <c r="C29" i="6" s="1"/>
  <c r="H8" i="4"/>
  <c r="H7" i="4"/>
  <c r="B24" i="6"/>
  <c r="H3" i="4"/>
  <c r="B27" i="6"/>
  <c r="H6" i="4"/>
  <c r="A23" i="6"/>
  <c r="G2" i="4"/>
  <c r="I2" i="4" s="1"/>
  <c r="J3" i="6" s="1"/>
  <c r="B25" i="6"/>
  <c r="H4" i="4"/>
  <c r="B26" i="6"/>
  <c r="H5" i="4"/>
  <c r="D2" i="7"/>
  <c r="B28" i="6"/>
  <c r="D7" i="4"/>
  <c r="B2" i="4"/>
  <c r="D3" i="4"/>
  <c r="D4" i="4"/>
  <c r="D5" i="4"/>
  <c r="D6" i="4"/>
  <c r="C27" i="6" s="1"/>
  <c r="J9" i="4" l="1"/>
  <c r="K9" i="4" s="1"/>
  <c r="L9" i="4" s="1"/>
  <c r="E30" i="6" s="1"/>
  <c r="J3" i="4"/>
  <c r="K3" i="4" s="1"/>
  <c r="L3" i="4" s="1"/>
  <c r="E24" i="6" s="1"/>
  <c r="J7" i="4"/>
  <c r="K7" i="4" s="1"/>
  <c r="L7" i="4" s="1"/>
  <c r="J5" i="4"/>
  <c r="K5" i="4" s="1"/>
  <c r="L5" i="4" s="1"/>
  <c r="E26" i="6" s="1"/>
  <c r="J8" i="4"/>
  <c r="K8" i="4" s="1"/>
  <c r="C25" i="6"/>
  <c r="J4" i="4"/>
  <c r="K4" i="4" s="1"/>
  <c r="L4" i="4" s="1"/>
  <c r="E25" i="6" s="1"/>
  <c r="B23" i="6"/>
  <c r="H2" i="4"/>
  <c r="J6" i="4"/>
  <c r="K6" i="4" s="1"/>
  <c r="L6" i="4" s="1"/>
  <c r="E27" i="6" s="1"/>
  <c r="C28" i="6"/>
  <c r="C26" i="6"/>
  <c r="D2" i="4"/>
  <c r="A3" i="6" s="1"/>
  <c r="C24" i="6"/>
  <c r="D30" i="6" l="1"/>
  <c r="D24" i="6"/>
  <c r="L8" i="4"/>
  <c r="E29" i="6" s="1"/>
  <c r="D29" i="6"/>
  <c r="D26" i="6"/>
  <c r="D27" i="6"/>
  <c r="J2" i="4"/>
  <c r="D25" i="6"/>
  <c r="C23" i="6"/>
  <c r="E28" i="6"/>
  <c r="D28" i="6"/>
  <c r="K2" i="4" l="1"/>
  <c r="L2" i="4" s="1"/>
  <c r="E23" i="6" s="1"/>
  <c r="M3" i="6"/>
  <c r="D3" i="6" l="1"/>
  <c r="G3" i="6" s="1"/>
  <c r="D23" i="6"/>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8">
    <bk>
      <extLst>
        <ext uri="{3e2802c4-a4d2-4d8b-9148-e3be6c30e623}">
          <xlrd:rvb i="2"/>
        </ext>
      </extLst>
    </bk>
    <bk>
      <extLst>
        <ext uri="{3e2802c4-a4d2-4d8b-9148-e3be6c30e623}">
          <xlrd:rvb i="9"/>
        </ext>
      </extLst>
    </bk>
    <bk>
      <extLst>
        <ext uri="{3e2802c4-a4d2-4d8b-9148-e3be6c30e623}">
          <xlrd:rvb i="12"/>
        </ext>
      </extLst>
    </bk>
    <bk>
      <extLst>
        <ext uri="{3e2802c4-a4d2-4d8b-9148-e3be6c30e623}">
          <xlrd:rvb i="15"/>
        </ext>
      </extLst>
    </bk>
    <bk>
      <extLst>
        <ext uri="{3e2802c4-a4d2-4d8b-9148-e3be6c30e623}">
          <xlrd:rvb i="18"/>
        </ext>
      </extLst>
    </bk>
    <bk>
      <extLst>
        <ext uri="{3e2802c4-a4d2-4d8b-9148-e3be6c30e623}">
          <xlrd:rvb i="21"/>
        </ext>
      </extLst>
    </bk>
    <bk>
      <extLst>
        <ext uri="{3e2802c4-a4d2-4d8b-9148-e3be6c30e623}">
          <xlrd:rvb i="24"/>
        </ext>
      </extLst>
    </bk>
    <bk>
      <extLst>
        <ext uri="{3e2802c4-a4d2-4d8b-9148-e3be6c30e623}">
          <xlrd:rvb i="27"/>
        </ext>
      </extLst>
    </bk>
  </futureMetadata>
  <cellMetadata count="1">
    <bk>
      <rc t="1" v="0"/>
    </bk>
  </cellMetadata>
  <valueMetadata count="8">
    <bk>
      <rc t="2" v="0"/>
    </bk>
    <bk>
      <rc t="2" v="1"/>
    </bk>
    <bk>
      <rc t="2" v="2"/>
    </bk>
    <bk>
      <rc t="2" v="3"/>
    </bk>
    <bk>
      <rc t="2" v="4"/>
    </bk>
    <bk>
      <rc t="2" v="5"/>
    </bk>
    <bk>
      <rc t="2" v="6"/>
    </bk>
    <bk>
      <rc t="2" v="7"/>
    </bk>
  </valueMetadata>
</metadata>
</file>

<file path=xl/sharedStrings.xml><?xml version="1.0" encoding="utf-8"?>
<sst xmlns="http://schemas.openxmlformats.org/spreadsheetml/2006/main" count="127" uniqueCount="53">
  <si>
    <t>Date</t>
  </si>
  <si>
    <t>Ticker</t>
  </si>
  <si>
    <t>Action</t>
  </si>
  <si>
    <t>Shares</t>
  </si>
  <si>
    <t>Price</t>
  </si>
  <si>
    <t>Fees</t>
  </si>
  <si>
    <t>Total</t>
  </si>
  <si>
    <t>AAPL</t>
  </si>
  <si>
    <t>Buy</t>
  </si>
  <si>
    <t>MSFT</t>
  </si>
  <si>
    <t>SPY</t>
  </si>
  <si>
    <t>Name</t>
  </si>
  <si>
    <t>Asset Type</t>
  </si>
  <si>
    <t>Sector</t>
  </si>
  <si>
    <t>Region</t>
  </si>
  <si>
    <t>Stock</t>
  </si>
  <si>
    <t>Technology</t>
  </si>
  <si>
    <t>U.S.</t>
  </si>
  <si>
    <t>Broad Market</t>
  </si>
  <si>
    <t>GLD</t>
  </si>
  <si>
    <t>Commodities</t>
  </si>
  <si>
    <t>Global</t>
  </si>
  <si>
    <t>Current Price</t>
  </si>
  <si>
    <t>Price Date</t>
  </si>
  <si>
    <t>Shares Owned</t>
  </si>
  <si>
    <t>Market Value</t>
  </si>
  <si>
    <t>Return %</t>
  </si>
  <si>
    <t>Etiquetas de fila</t>
  </si>
  <si>
    <t>Suma de Market Value</t>
  </si>
  <si>
    <t>Total Portfolio Value</t>
  </si>
  <si>
    <t>Total Gain/Loss</t>
  </si>
  <si>
    <t>Portfolio Dashboard</t>
  </si>
  <si>
    <t>As of:</t>
  </si>
  <si>
    <t>NVDA</t>
  </si>
  <si>
    <t>Sell</t>
  </si>
  <si>
    <t>JPM</t>
  </si>
  <si>
    <t>Finance</t>
  </si>
  <si>
    <t>Net Invested</t>
  </si>
  <si>
    <t>In Asset_Info?</t>
  </si>
  <si>
    <t>In Prices?</t>
  </si>
  <si>
    <t>Shares OK?</t>
  </si>
  <si>
    <t>Avg Cost</t>
  </si>
  <si>
    <t>Remaining Cost Basis</t>
  </si>
  <si>
    <t>Realized Gain/Loss</t>
  </si>
  <si>
    <t>Unrealized Gain/Loss</t>
  </si>
  <si>
    <t>Suma de Total Gain/Loss</t>
  </si>
  <si>
    <t>Prices As of:</t>
  </si>
  <si>
    <t>Price OK?</t>
  </si>
  <si>
    <t>AMZN</t>
  </si>
  <si>
    <t>Type</t>
  </si>
  <si>
    <t>Retail</t>
  </si>
  <si>
    <t>Total general</t>
  </si>
  <si>
    <t>GOOGL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</si>
</sst>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8" formatCode="&quot;$&quot;#,##0.00;[Red]\-&quot;$&quot;#,##0.00"/>
    <numFmt numFmtId="44" formatCode="_-&quot;$&quot;* #,##0.00_-;\-&quot;$&quot;* #,##0.00_-;_-&quot;$&quot;* &quot;-&quot;??_-;_-@_-"/>
    <numFmt numFmtId="43" formatCode="_-* #,##0.00_-;\-* #,##0.00_-;_-* &quot;-&quot;??_-;_-@_-"/>
    <numFmt numFmtId="165" formatCode="#,##0_);\(#,##0\)"/>
    <numFmt numFmtId="166" formatCode="&quot;$&quot;#,##0.00"/>
  </numFmts>
  <fonts count="9" x14ac:knownFonts="1">
    <font>
      <sz val="12"/>
      <color theme="1"/>
      <name val="Aptos Narrow"/>
      <family val="2"/>
      <scheme val="minor"/>
    </font>
    <font>
      <sz val="8"/>
      <name val="Aptos Narrow"/>
      <family val="2"/>
      <scheme val="minor"/>
    </font>
    <font>
      <sz val="12"/>
      <color theme="1"/>
      <name val="Aptos Narrow"/>
      <family val="2"/>
      <scheme val="minor"/>
    </font>
    <font>
      <b/>
      <sz val="22"/>
      <color theme="1"/>
      <name val="Aptos Narrow"/>
      <scheme val="minor"/>
    </font>
    <font>
      <b/>
      <sz val="12"/>
      <color theme="1"/>
      <name val="Aptos Narrow"/>
      <scheme val="minor"/>
    </font>
    <font>
      <b/>
      <sz val="28"/>
      <color theme="1"/>
      <name val="Aptos Narrow"/>
      <scheme val="minor"/>
    </font>
    <font>
      <b/>
      <sz val="26"/>
      <color theme="1"/>
      <name val="Aptos Narrow"/>
      <scheme val="minor"/>
    </font>
    <font>
      <b/>
      <sz val="16"/>
      <color theme="1"/>
      <name val="Aptos Narrow"/>
      <scheme val="minor"/>
    </font>
    <font>
      <b/>
      <sz val="12"/>
      <color theme="1"/>
      <name val="Aptos Narrow"/>
      <family val="2"/>
      <scheme val="minor"/>
    </font>
  </fonts>
  <fills count="5">
    <fill>
      <patternFill patternType="none"/>
    </fill>
    <fill>
      <patternFill patternType="gray125"/>
    </fill>
    <fill>
      <patternFill patternType="solid">
        <fgColor theme="2"/>
        <bgColor indexed="64"/>
      </patternFill>
    </fill>
    <fill>
      <patternFill patternType="solid">
        <fgColor theme="4" tint="0.39997558519241921"/>
        <bgColor indexed="64"/>
      </patternFill>
    </fill>
    <fill>
      <patternFill patternType="solid">
        <fgColor theme="7"/>
        <bgColor indexed="64"/>
      </patternFill>
    </fill>
  </fills>
  <borders count="9">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4">
    <xf numFmtId="0" fontId="0" fillId="0" borderId="0"/>
    <xf numFmtId="44" fontId="2" fillId="0" borderId="0" applyFont="0" applyFill="0" applyBorder="0" applyAlignment="0" applyProtection="0"/>
    <xf numFmtId="43" fontId="2" fillId="0" borderId="0" applyFont="0" applyFill="0" applyBorder="0" applyAlignment="0" applyProtection="0"/>
    <xf numFmtId="9" fontId="2" fillId="0" borderId="0" applyFont="0" applyFill="0" applyBorder="0" applyAlignment="0" applyProtection="0"/>
  </cellStyleXfs>
  <cellXfs count="48">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2" borderId="1" xfId="0" applyFill="1" applyBorder="1"/>
    <xf numFmtId="0" fontId="0" fillId="2" borderId="2" xfId="0" applyFill="1" applyBorder="1"/>
    <xf numFmtId="0" fontId="0" fillId="2" borderId="3" xfId="0" applyFill="1" applyBorder="1"/>
    <xf numFmtId="0" fontId="0" fillId="2" borderId="4" xfId="0" applyFill="1" applyBorder="1"/>
    <xf numFmtId="0" fontId="0" fillId="2" borderId="0" xfId="0" applyFill="1"/>
    <xf numFmtId="0" fontId="0" fillId="2" borderId="5" xfId="0" applyFill="1" applyBorder="1"/>
    <xf numFmtId="0" fontId="0" fillId="2" borderId="6" xfId="0" applyFill="1" applyBorder="1"/>
    <xf numFmtId="0" fontId="0" fillId="2" borderId="7" xfId="0" applyFill="1" applyBorder="1"/>
    <xf numFmtId="0" fontId="0" fillId="2" borderId="8" xfId="0" applyFill="1" applyBorder="1"/>
    <xf numFmtId="8" fontId="3" fillId="2" borderId="4" xfId="1" applyNumberFormat="1" applyFont="1" applyFill="1" applyBorder="1"/>
    <xf numFmtId="0" fontId="4" fillId="0" borderId="0" xfId="0" applyFont="1"/>
    <xf numFmtId="0" fontId="5" fillId="0" borderId="0" xfId="0" applyFont="1"/>
    <xf numFmtId="0" fontId="6" fillId="0" borderId="0" xfId="0" applyFont="1" applyAlignment="1">
      <alignment horizontal="right"/>
    </xf>
    <xf numFmtId="14" fontId="6" fillId="0" borderId="0" xfId="0" applyNumberFormat="1" applyFont="1" applyAlignment="1">
      <alignment horizontal="right"/>
    </xf>
    <xf numFmtId="10" fontId="3" fillId="2" borderId="4" xfId="0" applyNumberFormat="1" applyFont="1" applyFill="1" applyBorder="1"/>
    <xf numFmtId="2" fontId="0" fillId="0" borderId="0" xfId="0" applyNumberFormat="1"/>
    <xf numFmtId="10" fontId="0" fillId="0" borderId="0" xfId="0" applyNumberFormat="1"/>
    <xf numFmtId="43" fontId="0" fillId="0" borderId="0" xfId="2" applyFont="1"/>
    <xf numFmtId="166" fontId="0" fillId="0" borderId="0" xfId="1" applyNumberFormat="1" applyFont="1"/>
    <xf numFmtId="166" fontId="0" fillId="0" borderId="0" xfId="2" applyNumberFormat="1" applyFont="1"/>
    <xf numFmtId="4" fontId="0" fillId="0" borderId="0" xfId="0" applyNumberFormat="1"/>
    <xf numFmtId="0" fontId="7" fillId="3" borderId="0" xfId="0" applyFont="1" applyFill="1"/>
    <xf numFmtId="44" fontId="7" fillId="3" borderId="0" xfId="0" applyNumberFormat="1" applyFont="1" applyFill="1"/>
    <xf numFmtId="44" fontId="0" fillId="0" borderId="0" xfId="0" applyNumberFormat="1"/>
    <xf numFmtId="14" fontId="0" fillId="0" borderId="0" xfId="0" applyNumberFormat="1" applyAlignment="1">
      <alignment horizontal="center"/>
    </xf>
    <xf numFmtId="0" fontId="0" fillId="0" borderId="0" xfId="0" applyAlignment="1">
      <alignment horizontal="center"/>
    </xf>
    <xf numFmtId="0" fontId="7" fillId="3" borderId="0" xfId="0" applyFont="1" applyFill="1" applyAlignment="1">
      <alignment horizontal="left"/>
    </xf>
    <xf numFmtId="0" fontId="0" fillId="0" borderId="0" xfId="0" applyNumberFormat="1"/>
    <xf numFmtId="0" fontId="0" fillId="0" borderId="0" xfId="0" applyFill="1" applyBorder="1"/>
    <xf numFmtId="166" fontId="0" fillId="0" borderId="0" xfId="0" applyNumberFormat="1" applyFill="1" applyBorder="1"/>
    <xf numFmtId="14" fontId="0" fillId="0" borderId="0" xfId="0" applyNumberFormat="1" applyFill="1" applyBorder="1"/>
    <xf numFmtId="0" fontId="0" fillId="0" borderId="0" xfId="0" applyFont="1" applyFill="1" applyBorder="1"/>
    <xf numFmtId="0" fontId="8" fillId="4" borderId="0" xfId="0" applyFont="1" applyFill="1" applyBorder="1"/>
    <xf numFmtId="166" fontId="8" fillId="4" borderId="0" xfId="0" applyNumberFormat="1" applyFont="1" applyFill="1" applyBorder="1"/>
    <xf numFmtId="165" fontId="0" fillId="0" borderId="0" xfId="0" applyNumberFormat="1" applyFont="1" applyFill="1" applyBorder="1"/>
    <xf numFmtId="165" fontId="0" fillId="0" borderId="0" xfId="0" applyNumberFormat="1" applyFill="1" applyBorder="1"/>
    <xf numFmtId="43" fontId="0" fillId="0" borderId="0" xfId="2" applyFont="1" applyFill="1" applyBorder="1"/>
    <xf numFmtId="10" fontId="0" fillId="0" borderId="0" xfId="3" applyNumberFormat="1" applyFont="1" applyFill="1" applyBorder="1"/>
    <xf numFmtId="165" fontId="8" fillId="4" borderId="0" xfId="0" applyNumberFormat="1" applyFont="1" applyFill="1" applyBorder="1"/>
    <xf numFmtId="43" fontId="8" fillId="4" borderId="0" xfId="2" applyFont="1" applyFill="1" applyBorder="1"/>
    <xf numFmtId="10" fontId="8" fillId="4" borderId="0" xfId="3" applyNumberFormat="1" applyFont="1" applyFill="1" applyBorder="1"/>
    <xf numFmtId="0" fontId="4" fillId="4" borderId="0" xfId="0" applyFont="1" applyFill="1"/>
    <xf numFmtId="0" fontId="7" fillId="4" borderId="0" xfId="0" applyFont="1" applyFill="1"/>
    <xf numFmtId="43" fontId="0" fillId="0" borderId="0" xfId="0" applyNumberFormat="1"/>
  </cellXfs>
  <cellStyles count="4">
    <cellStyle name="Millares" xfId="2" builtinId="3"/>
    <cellStyle name="Moneda" xfId="1" builtinId="4"/>
    <cellStyle name="Normal" xfId="0" builtinId="0"/>
    <cellStyle name="Porcentaje" xfId="3" builtinId="5"/>
  </cellStyles>
  <dxfs count="10">
    <dxf>
      <numFmt numFmtId="35" formatCode="_-* #,##0.00_-;\-* #,##0.00_-;_-* &quot;-&quot;??_-;_-@_-"/>
    </dxf>
    <dxf>
      <numFmt numFmtId="35" formatCode="_-* #,##0.00_-;\-* #,##0.00_-;_-* &quot;-&quot;??_-;_-@_-"/>
    </dxf>
    <dxf>
      <numFmt numFmtId="35" formatCode="_-* #,##0.00_-;\-* #,##0.00_-;_-* &quot;-&quot;??_-;_-@_-"/>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microsoft.com/office/2017/06/relationships/rdSupportingPropertyBag" Target="richData/rdsupportingpropertybag.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microsoft.com/office/2017/06/relationships/rdSupportingPropertyBagStructure" Target="richData/rdsupportingpropertybagstructure.xml"/><Relationship Id="rId2" Type="http://schemas.openxmlformats.org/officeDocument/2006/relationships/worksheet" Target="worksheets/sheet2.xml"/><Relationship Id="rId16" Type="http://schemas.microsoft.com/office/2017/06/relationships/richStyles" Target="richData/richStyles.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microsoft.com/office/2017/06/relationships/rdRichValueStructure" Target="richData/rdrichvaluestructure.xml"/><Relationship Id="rId10" Type="http://schemas.openxmlformats.org/officeDocument/2006/relationships/theme" Target="theme/theme1.xml"/><Relationship Id="rId19" Type="http://schemas.microsoft.com/office/2017/06/relationships/rdRichValueTypes" Target="richData/rdRichValueTypes.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17/06/relationships/rdRichValue" Target="richData/rdrichvalue.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Dashboard.xlsx]Pivot_Summary!TablaDinámica7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Portfolio Allocation by Sector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Pivot_Summary!$B$1</c:f>
              <c:strCache>
                <c:ptCount val="1"/>
                <c:pt idx="0">
                  <c:v>Total</c:v>
                </c:pt>
              </c:strCache>
            </c:strRef>
          </c:tx>
          <c:spPr>
            <a:solidFill>
              <a:schemeClr val="accent1"/>
            </a:solidFill>
            <a:ln>
              <a:noFill/>
            </a:ln>
            <a:effectLst/>
          </c:spPr>
          <c:invertIfNegative val="0"/>
          <c:cat>
            <c:strRef>
              <c:f>Pivot_Summary!$A$2:$A$7</c:f>
              <c:strCache>
                <c:ptCount val="5"/>
                <c:pt idx="0">
                  <c:v>Broad Market</c:v>
                </c:pt>
                <c:pt idx="1">
                  <c:v>Commodities</c:v>
                </c:pt>
                <c:pt idx="2">
                  <c:v>Finance</c:v>
                </c:pt>
                <c:pt idx="3">
                  <c:v>Retail</c:v>
                </c:pt>
                <c:pt idx="4">
                  <c:v>Technology</c:v>
                </c:pt>
              </c:strCache>
            </c:strRef>
          </c:cat>
          <c:val>
            <c:numRef>
              <c:f>Pivot_Summary!$B$2:$B$7</c:f>
              <c:numCache>
                <c:formatCode>General</c:formatCode>
                <c:ptCount val="5"/>
                <c:pt idx="0">
                  <c:v>1441.3</c:v>
                </c:pt>
                <c:pt idx="1">
                  <c:v>1269.54</c:v>
                </c:pt>
                <c:pt idx="2">
                  <c:v>6249.4000000000005</c:v>
                </c:pt>
                <c:pt idx="3">
                  <c:v>13413</c:v>
                </c:pt>
                <c:pt idx="4">
                  <c:v>42964</c:v>
                </c:pt>
              </c:numCache>
            </c:numRef>
          </c:val>
          <c:extLst>
            <c:ext xmlns:c16="http://schemas.microsoft.com/office/drawing/2014/chart" uri="{C3380CC4-5D6E-409C-BE32-E72D297353CC}">
              <c16:uniqueId val="{00000000-C089-D543-8798-D4A36E97AB63}"/>
            </c:ext>
          </c:extLst>
        </c:ser>
        <c:dLbls>
          <c:showLegendKey val="0"/>
          <c:showVal val="0"/>
          <c:showCatName val="0"/>
          <c:showSerName val="0"/>
          <c:showPercent val="0"/>
          <c:showBubbleSize val="0"/>
        </c:dLbls>
        <c:gapWidth val="219"/>
        <c:overlap val="-27"/>
        <c:axId val="1312282752"/>
        <c:axId val="1312283200"/>
      </c:barChart>
      <c:catAx>
        <c:axId val="1312282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crossAx val="1312283200"/>
        <c:crosses val="autoZero"/>
        <c:auto val="1"/>
        <c:lblAlgn val="ctr"/>
        <c:lblOffset val="100"/>
        <c:noMultiLvlLbl val="0"/>
      </c:catAx>
      <c:valAx>
        <c:axId val="131228320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crossAx val="13122827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Dashboard.xlsx]Pivot_Summary!TablaDinámica8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Gain/Loss by Stock</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0B050"/>
          </a:solidFill>
          <a:ln>
            <a:noFill/>
          </a:ln>
          <a:effectLst/>
        </c:spPr>
      </c:pivotFmt>
      <c:pivotFmt>
        <c:idx val="4"/>
        <c:spPr>
          <a:solidFill>
            <a:srgbClr val="00B050"/>
          </a:solidFill>
          <a:ln>
            <a:noFill/>
          </a:ln>
          <a:effectLst/>
        </c:spPr>
      </c:pivotFmt>
      <c:pivotFmt>
        <c:idx val="5"/>
        <c:spPr>
          <a:solidFill>
            <a:srgbClr val="00B050"/>
          </a:solidFill>
          <a:ln>
            <a:noFill/>
          </a:ln>
          <a:effectLst/>
        </c:spPr>
      </c:pivotFmt>
      <c:pivotFmt>
        <c:idx val="6"/>
        <c:spPr>
          <a:solidFill>
            <a:srgbClr val="FF0000"/>
          </a:solidFill>
          <a:ln>
            <a:noFill/>
          </a:ln>
          <a:effectLst/>
        </c:spPr>
      </c:pivotFmt>
      <c:pivotFmt>
        <c:idx val="7"/>
        <c:spPr>
          <a:solidFill>
            <a:srgbClr val="00B050"/>
          </a:solidFill>
          <a:ln>
            <a:noFill/>
          </a:ln>
          <a:effectLst/>
        </c:spPr>
      </c:pivotFmt>
      <c:pivotFmt>
        <c:idx val="8"/>
        <c:spPr>
          <a:solidFill>
            <a:srgbClr val="00B050"/>
          </a:solidFill>
          <a:ln>
            <a:noFill/>
          </a:ln>
          <a:effectLst/>
        </c:spPr>
      </c:pivotFmt>
      <c:pivotFmt>
        <c:idx val="9"/>
        <c:spPr>
          <a:solidFill>
            <a:srgbClr val="00B050"/>
          </a:solidFill>
          <a:ln>
            <a:noFill/>
          </a:ln>
          <a:effectLst/>
        </c:spPr>
      </c:pivotFmt>
      <c:pivotFmt>
        <c:idx val="10"/>
        <c:spPr>
          <a:solidFill>
            <a:srgbClr val="00B050"/>
          </a:solidFill>
          <a:ln>
            <a:noFill/>
          </a:ln>
          <a:effectLst/>
        </c:spPr>
      </c:pivotFmt>
    </c:pivotFmts>
    <c:plotArea>
      <c:layout/>
      <c:barChart>
        <c:barDir val="col"/>
        <c:grouping val="clustered"/>
        <c:varyColors val="0"/>
        <c:ser>
          <c:idx val="0"/>
          <c:order val="0"/>
          <c:tx>
            <c:strRef>
              <c:f>Pivot_Summary!$E$1</c:f>
              <c:strCache>
                <c:ptCount val="1"/>
                <c:pt idx="0">
                  <c:v>Total</c:v>
                </c:pt>
              </c:strCache>
            </c:strRef>
          </c:tx>
          <c:spPr>
            <a:solidFill>
              <a:schemeClr val="accent1"/>
            </a:solidFill>
            <a:ln>
              <a:noFill/>
            </a:ln>
            <a:effectLst/>
          </c:spPr>
          <c:invertIfNegative val="0"/>
          <c:dPt>
            <c:idx val="0"/>
            <c:invertIfNegative val="0"/>
            <c:bubble3D val="0"/>
            <c:spPr>
              <a:solidFill>
                <a:srgbClr val="00B050"/>
              </a:solidFill>
              <a:ln>
                <a:noFill/>
              </a:ln>
              <a:effectLst/>
            </c:spPr>
            <c:extLst>
              <c:ext xmlns:c16="http://schemas.microsoft.com/office/drawing/2014/chart" uri="{C3380CC4-5D6E-409C-BE32-E72D297353CC}">
                <c16:uniqueId val="{00000001-E799-5C4C-9D0C-71F77C65F851}"/>
              </c:ext>
            </c:extLst>
          </c:dPt>
          <c:dPt>
            <c:idx val="1"/>
            <c:invertIfNegative val="0"/>
            <c:bubble3D val="0"/>
            <c:spPr>
              <a:solidFill>
                <a:srgbClr val="00B050"/>
              </a:solidFill>
              <a:ln>
                <a:noFill/>
              </a:ln>
              <a:effectLst/>
            </c:spPr>
            <c:extLst>
              <c:ext xmlns:c16="http://schemas.microsoft.com/office/drawing/2014/chart" uri="{C3380CC4-5D6E-409C-BE32-E72D297353CC}">
                <c16:uniqueId val="{00000002-E799-5C4C-9D0C-71F77C65F851}"/>
              </c:ext>
            </c:extLst>
          </c:dPt>
          <c:dPt>
            <c:idx val="2"/>
            <c:invertIfNegative val="0"/>
            <c:bubble3D val="0"/>
            <c:spPr>
              <a:solidFill>
                <a:srgbClr val="00B050"/>
              </a:solidFill>
              <a:ln>
                <a:noFill/>
              </a:ln>
              <a:effectLst/>
            </c:spPr>
            <c:extLst>
              <c:ext xmlns:c16="http://schemas.microsoft.com/office/drawing/2014/chart" uri="{C3380CC4-5D6E-409C-BE32-E72D297353CC}">
                <c16:uniqueId val="{00000003-E799-5C4C-9D0C-71F77C65F851}"/>
              </c:ext>
            </c:extLst>
          </c:dPt>
          <c:dPt>
            <c:idx val="3"/>
            <c:invertIfNegative val="0"/>
            <c:bubble3D val="0"/>
            <c:spPr>
              <a:solidFill>
                <a:srgbClr val="FF0000"/>
              </a:solidFill>
              <a:ln>
                <a:noFill/>
              </a:ln>
              <a:effectLst/>
            </c:spPr>
            <c:extLst>
              <c:ext xmlns:c16="http://schemas.microsoft.com/office/drawing/2014/chart" uri="{C3380CC4-5D6E-409C-BE32-E72D297353CC}">
                <c16:uniqueId val="{00000004-E799-5C4C-9D0C-71F77C65F851}"/>
              </c:ext>
            </c:extLst>
          </c:dPt>
          <c:dPt>
            <c:idx val="4"/>
            <c:invertIfNegative val="0"/>
            <c:bubble3D val="0"/>
            <c:spPr>
              <a:solidFill>
                <a:srgbClr val="00B050"/>
              </a:solidFill>
              <a:ln>
                <a:noFill/>
              </a:ln>
              <a:effectLst/>
            </c:spPr>
            <c:extLst>
              <c:ext xmlns:c16="http://schemas.microsoft.com/office/drawing/2014/chart" uri="{C3380CC4-5D6E-409C-BE32-E72D297353CC}">
                <c16:uniqueId val="{00000005-E799-5C4C-9D0C-71F77C65F851}"/>
              </c:ext>
            </c:extLst>
          </c:dPt>
          <c:dPt>
            <c:idx val="5"/>
            <c:invertIfNegative val="0"/>
            <c:bubble3D val="0"/>
            <c:spPr>
              <a:solidFill>
                <a:srgbClr val="00B050"/>
              </a:solidFill>
              <a:ln>
                <a:noFill/>
              </a:ln>
              <a:effectLst/>
            </c:spPr>
            <c:extLst>
              <c:ext xmlns:c16="http://schemas.microsoft.com/office/drawing/2014/chart" uri="{C3380CC4-5D6E-409C-BE32-E72D297353CC}">
                <c16:uniqueId val="{00000006-E799-5C4C-9D0C-71F77C65F851}"/>
              </c:ext>
            </c:extLst>
          </c:dPt>
          <c:dPt>
            <c:idx val="6"/>
            <c:invertIfNegative val="0"/>
            <c:bubble3D val="0"/>
            <c:spPr>
              <a:solidFill>
                <a:srgbClr val="00B050"/>
              </a:solidFill>
              <a:ln>
                <a:noFill/>
              </a:ln>
              <a:effectLst/>
            </c:spPr>
            <c:extLst>
              <c:ext xmlns:c16="http://schemas.microsoft.com/office/drawing/2014/chart" uri="{C3380CC4-5D6E-409C-BE32-E72D297353CC}">
                <c16:uniqueId val="{00000007-E799-5C4C-9D0C-71F77C65F851}"/>
              </c:ext>
            </c:extLst>
          </c:dPt>
          <c:dPt>
            <c:idx val="7"/>
            <c:invertIfNegative val="0"/>
            <c:bubble3D val="0"/>
            <c:spPr>
              <a:solidFill>
                <a:srgbClr val="00B050"/>
              </a:solidFill>
              <a:ln>
                <a:noFill/>
              </a:ln>
              <a:effectLst/>
            </c:spPr>
            <c:extLst>
              <c:ext xmlns:c16="http://schemas.microsoft.com/office/drawing/2014/chart" uri="{C3380CC4-5D6E-409C-BE32-E72D297353CC}">
                <c16:uniqueId val="{0000000E-042B-3E46-A3EC-798DFBA1FF21}"/>
              </c:ext>
            </c:extLst>
          </c:dPt>
          <c:cat>
            <c:strRef>
              <c:f>Pivot_Summary!$D$2:$D$10</c:f>
              <c:strCache>
                <c:ptCount val="8"/>
                <c:pt idx="0">
                  <c:v>AAPL</c:v>
                </c:pt>
                <c:pt idx="1">
                  <c:v>AMZN</c:v>
                </c:pt>
                <c:pt idx="2">
                  <c:v>GLD</c:v>
                </c:pt>
                <c:pt idx="3">
                  <c:v>JPM</c:v>
                </c:pt>
                <c:pt idx="4">
                  <c:v>MSFT</c:v>
                </c:pt>
                <c:pt idx="5">
                  <c:v>NVDA</c:v>
                </c:pt>
                <c:pt idx="6">
                  <c:v>SPY</c:v>
                </c:pt>
                <c:pt idx="7">
                  <c:v>GOOGL</c:v>
                </c:pt>
              </c:strCache>
            </c:strRef>
          </c:cat>
          <c:val>
            <c:numRef>
              <c:f>Pivot_Summary!$E$2:$E$10</c:f>
              <c:numCache>
                <c:formatCode>General</c:formatCode>
                <c:ptCount val="8"/>
                <c:pt idx="0">
                  <c:v>680.98</c:v>
                </c:pt>
                <c:pt idx="1">
                  <c:v>3413</c:v>
                </c:pt>
                <c:pt idx="2">
                  <c:v>669.54</c:v>
                </c:pt>
                <c:pt idx="3">
                  <c:v>-3350.5999999999995</c:v>
                </c:pt>
                <c:pt idx="4">
                  <c:v>343.31999999999994</c:v>
                </c:pt>
                <c:pt idx="5">
                  <c:v>930.69999999999982</c:v>
                </c:pt>
                <c:pt idx="6">
                  <c:v>441.29999999999995</c:v>
                </c:pt>
                <c:pt idx="7">
                  <c:v>8569</c:v>
                </c:pt>
              </c:numCache>
            </c:numRef>
          </c:val>
          <c:extLst>
            <c:ext xmlns:c16="http://schemas.microsoft.com/office/drawing/2014/chart" uri="{C3380CC4-5D6E-409C-BE32-E72D297353CC}">
              <c16:uniqueId val="{00000000-E799-5C4C-9D0C-71F77C65F851}"/>
            </c:ext>
          </c:extLst>
        </c:ser>
        <c:dLbls>
          <c:showLegendKey val="0"/>
          <c:showVal val="0"/>
          <c:showCatName val="0"/>
          <c:showSerName val="0"/>
          <c:showPercent val="0"/>
          <c:showBubbleSize val="0"/>
        </c:dLbls>
        <c:gapWidth val="219"/>
        <c:overlap val="-27"/>
        <c:axId val="1081997312"/>
        <c:axId val="1081984768"/>
      </c:barChart>
      <c:catAx>
        <c:axId val="1081997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crossAx val="1081984768"/>
        <c:crosses val="autoZero"/>
        <c:auto val="1"/>
        <c:lblAlgn val="ctr"/>
        <c:lblOffset val="100"/>
        <c:noMultiLvlLbl val="0"/>
      </c:catAx>
      <c:valAx>
        <c:axId val="108198476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crossAx val="10819973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Dashboard.xlsx]Pivot_Summary!TablaDinámica9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MX"/>
              <a:t>Portfolio Allocation by Stock</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Pivot_Summary!$H$1</c:f>
              <c:strCache>
                <c:ptCount val="1"/>
                <c:pt idx="0">
                  <c:v>Total</c:v>
                </c:pt>
              </c:strCache>
            </c:strRef>
          </c:tx>
          <c:spPr>
            <a:solidFill>
              <a:schemeClr val="accent1"/>
            </a:solidFill>
            <a:ln>
              <a:noFill/>
            </a:ln>
            <a:effectLst/>
          </c:spPr>
          <c:invertIfNegative val="0"/>
          <c:cat>
            <c:strRef>
              <c:f>Pivot_Summary!$G$2:$G$10</c:f>
              <c:strCache>
                <c:ptCount val="8"/>
                <c:pt idx="0">
                  <c:v>AAPL</c:v>
                </c:pt>
                <c:pt idx="1">
                  <c:v>AMZN</c:v>
                </c:pt>
                <c:pt idx="2">
                  <c:v>GLD</c:v>
                </c:pt>
                <c:pt idx="3">
                  <c:v>JPM</c:v>
                </c:pt>
                <c:pt idx="4">
                  <c:v>MSFT</c:v>
                </c:pt>
                <c:pt idx="5">
                  <c:v>NVDA</c:v>
                </c:pt>
                <c:pt idx="6">
                  <c:v>SPY</c:v>
                </c:pt>
                <c:pt idx="7">
                  <c:v>GOOGL</c:v>
                </c:pt>
              </c:strCache>
            </c:strRef>
          </c:cat>
          <c:val>
            <c:numRef>
              <c:f>Pivot_Summary!$H$2:$H$10</c:f>
              <c:numCache>
                <c:formatCode>General</c:formatCode>
                <c:ptCount val="8"/>
                <c:pt idx="0">
                  <c:v>1960.98</c:v>
                </c:pt>
                <c:pt idx="1">
                  <c:v>13413</c:v>
                </c:pt>
                <c:pt idx="2">
                  <c:v>1269.54</c:v>
                </c:pt>
                <c:pt idx="3">
                  <c:v>6249.4000000000005</c:v>
                </c:pt>
                <c:pt idx="4">
                  <c:v>1243.32</c:v>
                </c:pt>
                <c:pt idx="5">
                  <c:v>1190.6999999999998</c:v>
                </c:pt>
                <c:pt idx="6">
                  <c:v>1441.3</c:v>
                </c:pt>
                <c:pt idx="7">
                  <c:v>38569</c:v>
                </c:pt>
              </c:numCache>
            </c:numRef>
          </c:val>
          <c:extLst>
            <c:ext xmlns:c16="http://schemas.microsoft.com/office/drawing/2014/chart" uri="{C3380CC4-5D6E-409C-BE32-E72D297353CC}">
              <c16:uniqueId val="{00000000-49B3-6A44-87B4-9B075962EB43}"/>
            </c:ext>
          </c:extLst>
        </c:ser>
        <c:dLbls>
          <c:showLegendKey val="0"/>
          <c:showVal val="0"/>
          <c:showCatName val="0"/>
          <c:showSerName val="0"/>
          <c:showPercent val="0"/>
          <c:showBubbleSize val="0"/>
        </c:dLbls>
        <c:gapWidth val="219"/>
        <c:overlap val="-27"/>
        <c:axId val="1283759104"/>
        <c:axId val="1091784640"/>
      </c:barChart>
      <c:catAx>
        <c:axId val="1283759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crossAx val="1091784640"/>
        <c:crosses val="autoZero"/>
        <c:auto val="1"/>
        <c:lblAlgn val="ctr"/>
        <c:lblOffset val="100"/>
        <c:noMultiLvlLbl val="0"/>
      </c:catAx>
      <c:valAx>
        <c:axId val="10917846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crossAx val="12837591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522941</xdr:colOff>
      <xdr:row>5</xdr:row>
      <xdr:rowOff>149411</xdr:rowOff>
    </xdr:from>
    <xdr:to>
      <xdr:col>3</xdr:col>
      <xdr:colOff>1344706</xdr:colOff>
      <xdr:row>20</xdr:row>
      <xdr:rowOff>59765</xdr:rowOff>
    </xdr:to>
    <xdr:graphicFrame macro="">
      <xdr:nvGraphicFramePr>
        <xdr:cNvPr id="5" name="Gráfico 4">
          <a:extLst>
            <a:ext uri="{FF2B5EF4-FFF2-40B4-BE49-F238E27FC236}">
              <a16:creationId xmlns:a16="http://schemas.microsoft.com/office/drawing/2014/main" id="{6F28BF84-CA13-634E-A559-9CDF93CFA0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705223</xdr:colOff>
      <xdr:row>6</xdr:row>
      <xdr:rowOff>42831</xdr:rowOff>
    </xdr:from>
    <xdr:to>
      <xdr:col>14</xdr:col>
      <xdr:colOff>524934</xdr:colOff>
      <xdr:row>20</xdr:row>
      <xdr:rowOff>67733</xdr:rowOff>
    </xdr:to>
    <xdr:graphicFrame macro="">
      <xdr:nvGraphicFramePr>
        <xdr:cNvPr id="6" name="Gráfico 5">
          <a:extLst>
            <a:ext uri="{FF2B5EF4-FFF2-40B4-BE49-F238E27FC236}">
              <a16:creationId xmlns:a16="http://schemas.microsoft.com/office/drawing/2014/main" id="{4E3D2A72-8970-814E-B0D9-1C45D31236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1558860</xdr:colOff>
      <xdr:row>6</xdr:row>
      <xdr:rowOff>29883</xdr:rowOff>
    </xdr:from>
    <xdr:to>
      <xdr:col>8</xdr:col>
      <xdr:colOff>457199</xdr:colOff>
      <xdr:row>20</xdr:row>
      <xdr:rowOff>84666</xdr:rowOff>
    </xdr:to>
    <xdr:graphicFrame macro="">
      <xdr:nvGraphicFramePr>
        <xdr:cNvPr id="7" name="Gráfico 6">
          <a:extLst>
            <a:ext uri="{FF2B5EF4-FFF2-40B4-BE49-F238E27FC236}">
              <a16:creationId xmlns:a16="http://schemas.microsoft.com/office/drawing/2014/main" id="{914D610D-8457-DA47-86A9-F51A996E76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yan Logan" refreshedDate="46145.749161805557" createdVersion="8" refreshedVersion="8" minRefreshableVersion="3" recordCount="99" xr:uid="{7052F895-6E19-3A49-B269-6A9D231E8CA6}">
  <cacheSource type="worksheet">
    <worksheetSource ref="A1:L100" sheet="Holdings"/>
  </cacheSource>
  <cacheFields count="12">
    <cacheField name="Ticker" numFmtId="165">
      <sharedItems containsBlank="1" count="9">
        <s v="AAPL"/>
        <s v="MSFT"/>
        <s v="SPY"/>
        <s v="NVDA"/>
        <s v="GLD"/>
        <s v="JPM"/>
        <s v="AMZN"/>
        <s v="GOOGL"/>
        <m/>
      </sharedItems>
    </cacheField>
    <cacheField name="Shares Owned" numFmtId="165">
      <sharedItems containsMixedTypes="1" containsNumber="1" containsInteger="1" minValue="2" maxValue="100"/>
    </cacheField>
    <cacheField name="Current Price" numFmtId="43">
      <sharedItems containsMixedTypes="1" containsNumber="1" minValue="198.45" maxValue="720.65"/>
    </cacheField>
    <cacheField name="Market Value" numFmtId="43">
      <sharedItems containsMixedTypes="1" containsNumber="1" minValue="1190.6999999999998" maxValue="38569"/>
    </cacheField>
    <cacheField name="Sector" numFmtId="165">
      <sharedItems count="7">
        <s v="Technology"/>
        <s v="Broad Market"/>
        <s v="Commodities"/>
        <s v="Finance"/>
        <s v="Retail"/>
        <s v=""/>
        <e v="#N/A" u="1"/>
      </sharedItems>
    </cacheField>
    <cacheField name="Net Invested" numFmtId="43">
      <sharedItems containsMixedTypes="1" containsNumber="1" containsInteger="1" minValue="260" maxValue="30000"/>
    </cacheField>
    <cacheField name="Avg Cost" numFmtId="43">
      <sharedItems containsMixedTypes="1" containsNumber="1" minValue="50" maxValue="500"/>
    </cacheField>
    <cacheField name="Remaining Cost Basis" numFmtId="43">
      <sharedItems containsMixedTypes="1" containsNumber="1" containsInteger="1" minValue="300" maxValue="30000"/>
    </cacheField>
    <cacheField name="Realized Gain/Loss" numFmtId="43">
      <sharedItems containsMixedTypes="1" containsNumber="1" containsInteger="1" minValue="0" maxValue="40"/>
    </cacheField>
    <cacheField name="Unrealized Gain/Loss" numFmtId="43">
      <sharedItems containsMixedTypes="1" containsNumber="1" minValue="-3350.5999999999995" maxValue="8569"/>
    </cacheField>
    <cacheField name="Total Gain/Loss" numFmtId="43">
      <sharedItems containsMixedTypes="1" containsNumber="1" minValue="-3350.5999999999995" maxValue="8569"/>
    </cacheField>
    <cacheField name="Return %" numFmtId="10">
      <sharedItems containsMixedTypes="1" containsNumber="1" minValue="-0.34902083333333328" maxValue="1.8613999999999997"/>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
  <r>
    <x v="0"/>
    <n v="7"/>
    <n v="280.14"/>
    <n v="1960.98"/>
    <x v="0"/>
    <n v="1280"/>
    <n v="182.85714285714286"/>
    <n v="1280"/>
    <n v="0"/>
    <n v="680.98"/>
    <n v="680.98"/>
    <n v="0.53201562499999999"/>
  </r>
  <r>
    <x v="1"/>
    <n v="3"/>
    <n v="414.44"/>
    <n v="1243.32"/>
    <x v="0"/>
    <n v="900"/>
    <n v="300"/>
    <n v="900"/>
    <n v="0"/>
    <n v="343.31999999999994"/>
    <n v="343.31999999999994"/>
    <n v="0.38146666666666662"/>
  </r>
  <r>
    <x v="2"/>
    <n v="2"/>
    <n v="720.65"/>
    <n v="1441.3"/>
    <x v="1"/>
    <n v="1000"/>
    <n v="500"/>
    <n v="1000"/>
    <n v="0"/>
    <n v="441.29999999999995"/>
    <n v="441.29999999999995"/>
    <n v="0.44129999999999997"/>
  </r>
  <r>
    <x v="3"/>
    <n v="6"/>
    <n v="198.45"/>
    <n v="1190.6999999999998"/>
    <x v="0"/>
    <n v="260"/>
    <n v="50"/>
    <n v="300"/>
    <n v="40"/>
    <n v="890.69999999999982"/>
    <n v="930.69999999999982"/>
    <n v="1.8613999999999997"/>
  </r>
  <r>
    <x v="4"/>
    <n v="3"/>
    <n v="423.18"/>
    <n v="1269.54"/>
    <x v="2"/>
    <n v="600"/>
    <n v="200"/>
    <n v="600"/>
    <n v="0"/>
    <n v="669.54"/>
    <n v="669.54"/>
    <n v="1.1158999999999999"/>
  </r>
  <r>
    <x v="5"/>
    <n v="20"/>
    <n v="312.47000000000003"/>
    <n v="6249.4000000000005"/>
    <x v="3"/>
    <n v="9600"/>
    <n v="480"/>
    <n v="9600"/>
    <n v="0"/>
    <n v="-3350.5999999999995"/>
    <n v="-3350.5999999999995"/>
    <n v="-0.34902083333333328"/>
  </r>
  <r>
    <x v="6"/>
    <n v="50"/>
    <n v="268.26"/>
    <n v="13413"/>
    <x v="4"/>
    <n v="10000"/>
    <n v="200"/>
    <n v="10000"/>
    <n v="0"/>
    <n v="3413"/>
    <n v="3413"/>
    <n v="0.34129999999999999"/>
  </r>
  <r>
    <x v="7"/>
    <n v="100"/>
    <n v="385.69"/>
    <n v="38569"/>
    <x v="0"/>
    <n v="30000"/>
    <n v="300"/>
    <n v="30000"/>
    <n v="0"/>
    <n v="8569"/>
    <n v="8569"/>
    <n v="0.28563333333333335"/>
  </r>
  <r>
    <x v="8"/>
    <s v=""/>
    <s v=""/>
    <s v=""/>
    <x v="5"/>
    <s v=""/>
    <s v=""/>
    <s v=""/>
    <s v=""/>
    <s v=""/>
    <s v=""/>
    <s v=""/>
  </r>
  <r>
    <x v="8"/>
    <s v=""/>
    <s v=""/>
    <s v=""/>
    <x v="5"/>
    <s v=""/>
    <s v=""/>
    <s v=""/>
    <s v=""/>
    <s v=""/>
    <s v=""/>
    <s v=""/>
  </r>
  <r>
    <x v="8"/>
    <s v=""/>
    <s v=""/>
    <s v=""/>
    <x v="5"/>
    <s v=""/>
    <s v=""/>
    <s v=""/>
    <s v=""/>
    <s v=""/>
    <s v=""/>
    <s v=""/>
  </r>
  <r>
    <x v="8"/>
    <s v=""/>
    <s v=""/>
    <s v=""/>
    <x v="5"/>
    <s v=""/>
    <s v=""/>
    <s v=""/>
    <s v=""/>
    <s v=""/>
    <s v=""/>
    <s v=""/>
  </r>
  <r>
    <x v="8"/>
    <s v=""/>
    <s v=""/>
    <s v=""/>
    <x v="5"/>
    <s v=""/>
    <s v=""/>
    <s v=""/>
    <s v=""/>
    <s v=""/>
    <s v=""/>
    <s v=""/>
  </r>
  <r>
    <x v="8"/>
    <s v=""/>
    <s v=""/>
    <s v=""/>
    <x v="5"/>
    <s v=""/>
    <s v=""/>
    <s v=""/>
    <s v=""/>
    <s v=""/>
    <s v=""/>
    <s v=""/>
  </r>
  <r>
    <x v="8"/>
    <s v=""/>
    <s v=""/>
    <s v=""/>
    <x v="5"/>
    <s v=""/>
    <s v=""/>
    <s v=""/>
    <s v=""/>
    <s v=""/>
    <s v=""/>
    <s v=""/>
  </r>
  <r>
    <x v="8"/>
    <s v=""/>
    <s v=""/>
    <s v=""/>
    <x v="5"/>
    <s v=""/>
    <s v=""/>
    <s v=""/>
    <s v=""/>
    <s v=""/>
    <s v=""/>
    <s v=""/>
  </r>
  <r>
    <x v="8"/>
    <s v=""/>
    <s v=""/>
    <s v=""/>
    <x v="5"/>
    <s v=""/>
    <s v=""/>
    <s v=""/>
    <s v=""/>
    <s v=""/>
    <s v=""/>
    <s v=""/>
  </r>
  <r>
    <x v="8"/>
    <s v=""/>
    <s v=""/>
    <s v=""/>
    <x v="5"/>
    <s v=""/>
    <s v=""/>
    <s v=""/>
    <s v=""/>
    <s v=""/>
    <s v=""/>
    <s v=""/>
  </r>
  <r>
    <x v="8"/>
    <s v=""/>
    <s v=""/>
    <s v=""/>
    <x v="5"/>
    <s v=""/>
    <s v=""/>
    <s v=""/>
    <s v=""/>
    <s v=""/>
    <s v=""/>
    <s v=""/>
  </r>
  <r>
    <x v="8"/>
    <s v=""/>
    <s v=""/>
    <s v=""/>
    <x v="5"/>
    <s v=""/>
    <s v=""/>
    <s v=""/>
    <s v=""/>
    <s v=""/>
    <s v=""/>
    <s v=""/>
  </r>
  <r>
    <x v="8"/>
    <s v=""/>
    <s v=""/>
    <s v=""/>
    <x v="5"/>
    <s v=""/>
    <s v=""/>
    <s v=""/>
    <s v=""/>
    <s v=""/>
    <s v=""/>
    <s v=""/>
  </r>
  <r>
    <x v="8"/>
    <s v=""/>
    <s v=""/>
    <s v=""/>
    <x v="5"/>
    <s v=""/>
    <s v=""/>
    <s v=""/>
    <s v=""/>
    <s v=""/>
    <s v=""/>
    <s v=""/>
  </r>
  <r>
    <x v="8"/>
    <s v=""/>
    <s v=""/>
    <s v=""/>
    <x v="5"/>
    <s v=""/>
    <s v=""/>
    <s v=""/>
    <s v=""/>
    <s v=""/>
    <s v=""/>
    <s v=""/>
  </r>
  <r>
    <x v="8"/>
    <s v=""/>
    <s v=""/>
    <s v=""/>
    <x v="5"/>
    <s v=""/>
    <s v=""/>
    <s v=""/>
    <s v=""/>
    <s v=""/>
    <s v=""/>
    <s v=""/>
  </r>
  <r>
    <x v="8"/>
    <s v=""/>
    <s v=""/>
    <s v=""/>
    <x v="5"/>
    <s v=""/>
    <s v=""/>
    <s v=""/>
    <s v=""/>
    <s v=""/>
    <s v=""/>
    <s v=""/>
  </r>
  <r>
    <x v="8"/>
    <s v=""/>
    <s v=""/>
    <s v=""/>
    <x v="5"/>
    <s v=""/>
    <s v=""/>
    <s v=""/>
    <s v=""/>
    <s v=""/>
    <s v=""/>
    <s v=""/>
  </r>
  <r>
    <x v="8"/>
    <s v=""/>
    <s v=""/>
    <s v=""/>
    <x v="5"/>
    <s v=""/>
    <s v=""/>
    <s v=""/>
    <s v=""/>
    <s v=""/>
    <s v=""/>
    <s v=""/>
  </r>
  <r>
    <x v="8"/>
    <s v=""/>
    <s v=""/>
    <s v=""/>
    <x v="5"/>
    <s v=""/>
    <s v=""/>
    <s v=""/>
    <s v=""/>
    <s v=""/>
    <s v=""/>
    <s v=""/>
  </r>
  <r>
    <x v="8"/>
    <s v=""/>
    <s v=""/>
    <s v=""/>
    <x v="5"/>
    <s v=""/>
    <s v=""/>
    <s v=""/>
    <s v=""/>
    <s v=""/>
    <s v=""/>
    <s v=""/>
  </r>
  <r>
    <x v="8"/>
    <s v=""/>
    <s v=""/>
    <s v=""/>
    <x v="5"/>
    <s v=""/>
    <s v=""/>
    <s v=""/>
    <s v=""/>
    <s v=""/>
    <s v=""/>
    <s v=""/>
  </r>
  <r>
    <x v="8"/>
    <s v=""/>
    <s v=""/>
    <s v=""/>
    <x v="5"/>
    <s v=""/>
    <s v=""/>
    <s v=""/>
    <s v=""/>
    <s v=""/>
    <s v=""/>
    <s v=""/>
  </r>
  <r>
    <x v="8"/>
    <s v=""/>
    <s v=""/>
    <s v=""/>
    <x v="5"/>
    <s v=""/>
    <s v=""/>
    <s v=""/>
    <s v=""/>
    <s v=""/>
    <s v=""/>
    <s v=""/>
  </r>
  <r>
    <x v="8"/>
    <s v=""/>
    <s v=""/>
    <s v=""/>
    <x v="5"/>
    <s v=""/>
    <s v=""/>
    <s v=""/>
    <s v=""/>
    <s v=""/>
    <s v=""/>
    <s v=""/>
  </r>
  <r>
    <x v="8"/>
    <s v=""/>
    <s v=""/>
    <s v=""/>
    <x v="5"/>
    <s v=""/>
    <s v=""/>
    <s v=""/>
    <s v=""/>
    <s v=""/>
    <s v=""/>
    <s v=""/>
  </r>
  <r>
    <x v="8"/>
    <s v=""/>
    <s v=""/>
    <s v=""/>
    <x v="5"/>
    <s v=""/>
    <s v=""/>
    <s v=""/>
    <s v=""/>
    <s v=""/>
    <s v=""/>
    <s v=""/>
  </r>
  <r>
    <x v="8"/>
    <s v=""/>
    <s v=""/>
    <s v=""/>
    <x v="5"/>
    <s v=""/>
    <s v=""/>
    <s v=""/>
    <s v=""/>
    <s v=""/>
    <s v=""/>
    <s v=""/>
  </r>
  <r>
    <x v="8"/>
    <s v=""/>
    <s v=""/>
    <s v=""/>
    <x v="5"/>
    <s v=""/>
    <s v=""/>
    <s v=""/>
    <s v=""/>
    <s v=""/>
    <s v=""/>
    <s v=""/>
  </r>
  <r>
    <x v="8"/>
    <s v=""/>
    <s v=""/>
    <s v=""/>
    <x v="5"/>
    <s v=""/>
    <s v=""/>
    <s v=""/>
    <s v=""/>
    <s v=""/>
    <s v=""/>
    <s v=""/>
  </r>
  <r>
    <x v="8"/>
    <s v=""/>
    <s v=""/>
    <s v=""/>
    <x v="5"/>
    <s v=""/>
    <s v=""/>
    <s v=""/>
    <s v=""/>
    <s v=""/>
    <s v=""/>
    <s v=""/>
  </r>
  <r>
    <x v="8"/>
    <s v=""/>
    <s v=""/>
    <s v=""/>
    <x v="5"/>
    <s v=""/>
    <s v=""/>
    <s v=""/>
    <s v=""/>
    <s v=""/>
    <s v=""/>
    <s v=""/>
  </r>
  <r>
    <x v="8"/>
    <s v=""/>
    <s v=""/>
    <s v=""/>
    <x v="5"/>
    <s v=""/>
    <s v=""/>
    <s v=""/>
    <s v=""/>
    <s v=""/>
    <s v=""/>
    <s v=""/>
  </r>
  <r>
    <x v="8"/>
    <s v=""/>
    <s v=""/>
    <s v=""/>
    <x v="5"/>
    <s v=""/>
    <s v=""/>
    <s v=""/>
    <s v=""/>
    <s v=""/>
    <s v=""/>
    <s v=""/>
  </r>
  <r>
    <x v="8"/>
    <s v=""/>
    <s v=""/>
    <s v=""/>
    <x v="5"/>
    <s v=""/>
    <s v=""/>
    <s v=""/>
    <s v=""/>
    <s v=""/>
    <s v=""/>
    <s v=""/>
  </r>
  <r>
    <x v="8"/>
    <s v=""/>
    <s v=""/>
    <s v=""/>
    <x v="5"/>
    <s v=""/>
    <s v=""/>
    <s v=""/>
    <s v=""/>
    <s v=""/>
    <s v=""/>
    <s v=""/>
  </r>
  <r>
    <x v="8"/>
    <s v=""/>
    <s v=""/>
    <s v=""/>
    <x v="5"/>
    <s v=""/>
    <s v=""/>
    <s v=""/>
    <s v=""/>
    <s v=""/>
    <s v=""/>
    <s v=""/>
  </r>
  <r>
    <x v="8"/>
    <s v=""/>
    <s v=""/>
    <s v=""/>
    <x v="5"/>
    <s v=""/>
    <s v=""/>
    <s v=""/>
    <s v=""/>
    <s v=""/>
    <s v=""/>
    <s v=""/>
  </r>
  <r>
    <x v="8"/>
    <s v=""/>
    <s v=""/>
    <s v=""/>
    <x v="5"/>
    <s v=""/>
    <s v=""/>
    <s v=""/>
    <s v=""/>
    <s v=""/>
    <s v=""/>
    <s v=""/>
  </r>
  <r>
    <x v="8"/>
    <s v=""/>
    <s v=""/>
    <s v=""/>
    <x v="5"/>
    <s v=""/>
    <s v=""/>
    <s v=""/>
    <s v=""/>
    <s v=""/>
    <s v=""/>
    <s v=""/>
  </r>
  <r>
    <x v="8"/>
    <s v=""/>
    <s v=""/>
    <s v=""/>
    <x v="5"/>
    <s v=""/>
    <s v=""/>
    <s v=""/>
    <s v=""/>
    <s v=""/>
    <s v=""/>
    <s v=""/>
  </r>
  <r>
    <x v="8"/>
    <s v=""/>
    <s v=""/>
    <s v=""/>
    <x v="5"/>
    <s v=""/>
    <s v=""/>
    <s v=""/>
    <s v=""/>
    <s v=""/>
    <s v=""/>
    <s v=""/>
  </r>
  <r>
    <x v="8"/>
    <s v=""/>
    <s v=""/>
    <s v=""/>
    <x v="5"/>
    <s v=""/>
    <s v=""/>
    <s v=""/>
    <s v=""/>
    <s v=""/>
    <s v=""/>
    <s v=""/>
  </r>
  <r>
    <x v="8"/>
    <s v=""/>
    <s v=""/>
    <s v=""/>
    <x v="5"/>
    <s v=""/>
    <s v=""/>
    <s v=""/>
    <s v=""/>
    <s v=""/>
    <s v=""/>
    <s v=""/>
  </r>
  <r>
    <x v="8"/>
    <s v=""/>
    <s v=""/>
    <s v=""/>
    <x v="5"/>
    <s v=""/>
    <s v=""/>
    <s v=""/>
    <s v=""/>
    <s v=""/>
    <s v=""/>
    <s v=""/>
  </r>
  <r>
    <x v="8"/>
    <s v=""/>
    <s v=""/>
    <s v=""/>
    <x v="5"/>
    <s v=""/>
    <s v=""/>
    <s v=""/>
    <s v=""/>
    <s v=""/>
    <s v=""/>
    <s v=""/>
  </r>
  <r>
    <x v="8"/>
    <s v=""/>
    <s v=""/>
    <s v=""/>
    <x v="5"/>
    <s v=""/>
    <s v=""/>
    <s v=""/>
    <s v=""/>
    <s v=""/>
    <s v=""/>
    <s v=""/>
  </r>
  <r>
    <x v="8"/>
    <s v=""/>
    <s v=""/>
    <s v=""/>
    <x v="5"/>
    <s v=""/>
    <s v=""/>
    <s v=""/>
    <s v=""/>
    <s v=""/>
    <s v=""/>
    <s v=""/>
  </r>
  <r>
    <x v="8"/>
    <s v=""/>
    <s v=""/>
    <s v=""/>
    <x v="5"/>
    <s v=""/>
    <s v=""/>
    <s v=""/>
    <s v=""/>
    <s v=""/>
    <s v=""/>
    <s v=""/>
  </r>
  <r>
    <x v="8"/>
    <s v=""/>
    <s v=""/>
    <s v=""/>
    <x v="5"/>
    <s v=""/>
    <s v=""/>
    <s v=""/>
    <s v=""/>
    <s v=""/>
    <s v=""/>
    <s v=""/>
  </r>
  <r>
    <x v="8"/>
    <s v=""/>
    <s v=""/>
    <s v=""/>
    <x v="5"/>
    <s v=""/>
    <s v=""/>
    <s v=""/>
    <s v=""/>
    <s v=""/>
    <s v=""/>
    <s v=""/>
  </r>
  <r>
    <x v="8"/>
    <s v=""/>
    <s v=""/>
    <s v=""/>
    <x v="5"/>
    <s v=""/>
    <s v=""/>
    <s v=""/>
    <s v=""/>
    <s v=""/>
    <s v=""/>
    <s v=""/>
  </r>
  <r>
    <x v="8"/>
    <s v=""/>
    <s v=""/>
    <s v=""/>
    <x v="5"/>
    <s v=""/>
    <s v=""/>
    <s v=""/>
    <s v=""/>
    <s v=""/>
    <s v=""/>
    <s v=""/>
  </r>
  <r>
    <x v="8"/>
    <s v=""/>
    <s v=""/>
    <s v=""/>
    <x v="5"/>
    <s v=""/>
    <s v=""/>
    <s v=""/>
    <s v=""/>
    <s v=""/>
    <s v=""/>
    <s v=""/>
  </r>
  <r>
    <x v="8"/>
    <s v=""/>
    <s v=""/>
    <s v=""/>
    <x v="5"/>
    <s v=""/>
    <s v=""/>
    <s v=""/>
    <s v=""/>
    <s v=""/>
    <s v=""/>
    <s v=""/>
  </r>
  <r>
    <x v="8"/>
    <s v=""/>
    <s v=""/>
    <s v=""/>
    <x v="5"/>
    <s v=""/>
    <s v=""/>
    <s v=""/>
    <s v=""/>
    <s v=""/>
    <s v=""/>
    <s v=""/>
  </r>
  <r>
    <x v="8"/>
    <s v=""/>
    <s v=""/>
    <s v=""/>
    <x v="5"/>
    <s v=""/>
    <s v=""/>
    <s v=""/>
    <s v=""/>
    <s v=""/>
    <s v=""/>
    <s v=""/>
  </r>
  <r>
    <x v="8"/>
    <s v=""/>
    <s v=""/>
    <s v=""/>
    <x v="5"/>
    <s v=""/>
    <s v=""/>
    <s v=""/>
    <s v=""/>
    <s v=""/>
    <s v=""/>
    <s v=""/>
  </r>
  <r>
    <x v="8"/>
    <s v=""/>
    <s v=""/>
    <s v=""/>
    <x v="5"/>
    <s v=""/>
    <s v=""/>
    <s v=""/>
    <s v=""/>
    <s v=""/>
    <s v=""/>
    <s v=""/>
  </r>
  <r>
    <x v="8"/>
    <s v=""/>
    <s v=""/>
    <s v=""/>
    <x v="5"/>
    <s v=""/>
    <s v=""/>
    <s v=""/>
    <s v=""/>
    <s v=""/>
    <s v=""/>
    <s v=""/>
  </r>
  <r>
    <x v="8"/>
    <s v=""/>
    <s v=""/>
    <s v=""/>
    <x v="5"/>
    <s v=""/>
    <s v=""/>
    <s v=""/>
    <s v=""/>
    <s v=""/>
    <s v=""/>
    <s v=""/>
  </r>
  <r>
    <x v="8"/>
    <s v=""/>
    <s v=""/>
    <s v=""/>
    <x v="5"/>
    <s v=""/>
    <s v=""/>
    <s v=""/>
    <s v=""/>
    <s v=""/>
    <s v=""/>
    <s v=""/>
  </r>
  <r>
    <x v="8"/>
    <s v=""/>
    <s v=""/>
    <s v=""/>
    <x v="5"/>
    <s v=""/>
    <s v=""/>
    <s v=""/>
    <s v=""/>
    <s v=""/>
    <s v=""/>
    <s v=""/>
  </r>
  <r>
    <x v="8"/>
    <s v=""/>
    <s v=""/>
    <s v=""/>
    <x v="5"/>
    <s v=""/>
    <s v=""/>
    <s v=""/>
    <s v=""/>
    <s v=""/>
    <s v=""/>
    <s v=""/>
  </r>
  <r>
    <x v="8"/>
    <s v=""/>
    <s v=""/>
    <s v=""/>
    <x v="5"/>
    <s v=""/>
    <s v=""/>
    <s v=""/>
    <s v=""/>
    <s v=""/>
    <s v=""/>
    <s v=""/>
  </r>
  <r>
    <x v="8"/>
    <s v=""/>
    <s v=""/>
    <s v=""/>
    <x v="5"/>
    <s v=""/>
    <s v=""/>
    <s v=""/>
    <s v=""/>
    <s v=""/>
    <s v=""/>
    <s v=""/>
  </r>
  <r>
    <x v="8"/>
    <s v=""/>
    <s v=""/>
    <s v=""/>
    <x v="5"/>
    <s v=""/>
    <s v=""/>
    <s v=""/>
    <s v=""/>
    <s v=""/>
    <s v=""/>
    <s v=""/>
  </r>
  <r>
    <x v="8"/>
    <s v=""/>
    <s v=""/>
    <s v=""/>
    <x v="5"/>
    <s v=""/>
    <s v=""/>
    <s v=""/>
    <s v=""/>
    <s v=""/>
    <s v=""/>
    <s v=""/>
  </r>
  <r>
    <x v="8"/>
    <s v=""/>
    <s v=""/>
    <s v=""/>
    <x v="5"/>
    <s v=""/>
    <s v=""/>
    <s v=""/>
    <s v=""/>
    <s v=""/>
    <s v=""/>
    <s v=""/>
  </r>
  <r>
    <x v="8"/>
    <s v=""/>
    <s v=""/>
    <s v=""/>
    <x v="5"/>
    <s v=""/>
    <s v=""/>
    <s v=""/>
    <s v=""/>
    <s v=""/>
    <s v=""/>
    <s v=""/>
  </r>
  <r>
    <x v="8"/>
    <s v=""/>
    <s v=""/>
    <s v=""/>
    <x v="5"/>
    <s v=""/>
    <s v=""/>
    <s v=""/>
    <s v=""/>
    <s v=""/>
    <s v=""/>
    <s v=""/>
  </r>
  <r>
    <x v="8"/>
    <s v=""/>
    <s v=""/>
    <s v=""/>
    <x v="5"/>
    <s v=""/>
    <s v=""/>
    <s v=""/>
    <s v=""/>
    <s v=""/>
    <s v=""/>
    <s v=""/>
  </r>
  <r>
    <x v="8"/>
    <s v=""/>
    <s v=""/>
    <s v=""/>
    <x v="5"/>
    <s v=""/>
    <s v=""/>
    <s v=""/>
    <s v=""/>
    <s v=""/>
    <s v=""/>
    <s v=""/>
  </r>
  <r>
    <x v="8"/>
    <s v=""/>
    <s v=""/>
    <s v=""/>
    <x v="5"/>
    <s v=""/>
    <s v=""/>
    <s v=""/>
    <s v=""/>
    <s v=""/>
    <s v=""/>
    <s v=""/>
  </r>
  <r>
    <x v="8"/>
    <s v=""/>
    <s v=""/>
    <s v=""/>
    <x v="5"/>
    <s v=""/>
    <s v=""/>
    <s v=""/>
    <s v=""/>
    <s v=""/>
    <s v=""/>
    <s v=""/>
  </r>
  <r>
    <x v="8"/>
    <s v=""/>
    <s v=""/>
    <s v=""/>
    <x v="5"/>
    <s v=""/>
    <s v=""/>
    <s v=""/>
    <s v=""/>
    <s v=""/>
    <s v=""/>
    <s v=""/>
  </r>
  <r>
    <x v="8"/>
    <s v=""/>
    <s v=""/>
    <s v=""/>
    <x v="5"/>
    <s v=""/>
    <s v=""/>
    <s v=""/>
    <s v=""/>
    <s v=""/>
    <s v=""/>
    <s v=""/>
  </r>
  <r>
    <x v="8"/>
    <s v=""/>
    <s v=""/>
    <s v=""/>
    <x v="5"/>
    <s v=""/>
    <s v=""/>
    <s v=""/>
    <s v=""/>
    <s v=""/>
    <s v=""/>
    <s v=""/>
  </r>
  <r>
    <x v="8"/>
    <s v=""/>
    <s v=""/>
    <s v=""/>
    <x v="5"/>
    <s v=""/>
    <s v=""/>
    <s v=""/>
    <s v=""/>
    <s v=""/>
    <s v=""/>
    <s v=""/>
  </r>
  <r>
    <x v="8"/>
    <s v=""/>
    <s v=""/>
    <s v=""/>
    <x v="5"/>
    <s v=""/>
    <s v=""/>
    <s v=""/>
    <s v=""/>
    <s v=""/>
    <s v=""/>
    <s v=""/>
  </r>
  <r>
    <x v="8"/>
    <s v=""/>
    <s v=""/>
    <s v=""/>
    <x v="5"/>
    <s v=""/>
    <s v=""/>
    <s v=""/>
    <s v=""/>
    <s v=""/>
    <s v=""/>
    <s v=""/>
  </r>
  <r>
    <x v="8"/>
    <s v=""/>
    <s v=""/>
    <s v=""/>
    <x v="5"/>
    <s v=""/>
    <s v=""/>
    <s v=""/>
    <s v=""/>
    <s v=""/>
    <s v=""/>
    <s v=""/>
  </r>
  <r>
    <x v="8"/>
    <s v=""/>
    <s v=""/>
    <s v=""/>
    <x v="5"/>
    <s v=""/>
    <s v=""/>
    <s v=""/>
    <s v=""/>
    <s v=""/>
    <s v=""/>
    <s v=""/>
  </r>
  <r>
    <x v="8"/>
    <s v=""/>
    <s v=""/>
    <s v=""/>
    <x v="5"/>
    <s v=""/>
    <s v=""/>
    <s v=""/>
    <s v=""/>
    <s v=""/>
    <s v=""/>
    <s v=""/>
  </r>
  <r>
    <x v="8"/>
    <s v=""/>
    <s v=""/>
    <s v=""/>
    <x v="5"/>
    <s v=""/>
    <s v=""/>
    <s v=""/>
    <s v=""/>
    <s v=""/>
    <s v=""/>
    <s v=""/>
  </r>
  <r>
    <x v="8"/>
    <s v=""/>
    <s v=""/>
    <s v=""/>
    <x v="5"/>
    <s v=""/>
    <s v=""/>
    <s v=""/>
    <s v=""/>
    <s v=""/>
    <s v=""/>
    <s v=""/>
  </r>
  <r>
    <x v="8"/>
    <s v=""/>
    <s v=""/>
    <s v=""/>
    <x v="5"/>
    <s v=""/>
    <s v=""/>
    <s v=""/>
    <s v=""/>
    <s v=""/>
    <s v=""/>
    <s v=""/>
  </r>
  <r>
    <x v="8"/>
    <s v=""/>
    <s v=""/>
    <s v=""/>
    <x v="5"/>
    <s v=""/>
    <s v=""/>
    <s v=""/>
    <s v=""/>
    <s v=""/>
    <s v=""/>
    <s v=""/>
  </r>
  <r>
    <x v="8"/>
    <s v=""/>
    <s v=""/>
    <s v=""/>
    <x v="5"/>
    <s v=""/>
    <s v=""/>
    <s v=""/>
    <s v=""/>
    <s v=""/>
    <s v=""/>
    <s v=""/>
  </r>
  <r>
    <x v="8"/>
    <s v=""/>
    <s v=""/>
    <s v=""/>
    <x v="5"/>
    <s v=""/>
    <s v=""/>
    <s v=""/>
    <s v=""/>
    <s v=""/>
    <s v=""/>
    <s v=""/>
  </r>
  <r>
    <x v="8"/>
    <s v=""/>
    <s v=""/>
    <s v=""/>
    <x v="5"/>
    <s v=""/>
    <s v=""/>
    <s v=""/>
    <s v=""/>
    <s v=""/>
    <s v=""/>
    <s v=""/>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D779B31-783B-3046-B434-D7C4A141B5B5}" name="TablaDinámica8" cacheId="328"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3">
  <location ref="D1:E10" firstHeaderRow="1" firstDataRow="1" firstDataCol="1"/>
  <pivotFields count="12">
    <pivotField axis="axisRow" showAll="0">
      <items count="10">
        <item x="0"/>
        <item x="6"/>
        <item x="4"/>
        <item x="5"/>
        <item x="1"/>
        <item x="3"/>
        <item x="2"/>
        <item h="1" x="8"/>
        <item x="7"/>
        <item t="default"/>
      </items>
    </pivotField>
    <pivotField showAll="0"/>
    <pivotField showAll="0"/>
    <pivotField showAll="0"/>
    <pivotField showAll="0"/>
    <pivotField showAll="0"/>
    <pivotField showAll="0"/>
    <pivotField showAll="0"/>
    <pivotField showAll="0"/>
    <pivotField showAll="0"/>
    <pivotField dataField="1" showAll="0"/>
    <pivotField showAll="0"/>
  </pivotFields>
  <rowFields count="1">
    <field x="0"/>
  </rowFields>
  <rowItems count="9">
    <i>
      <x/>
    </i>
    <i>
      <x v="1"/>
    </i>
    <i>
      <x v="2"/>
    </i>
    <i>
      <x v="3"/>
    </i>
    <i>
      <x v="4"/>
    </i>
    <i>
      <x v="5"/>
    </i>
    <i>
      <x v="6"/>
    </i>
    <i>
      <x v="8"/>
    </i>
    <i t="grand">
      <x/>
    </i>
  </rowItems>
  <colItems count="1">
    <i/>
  </colItems>
  <dataFields count="1">
    <dataField name="Suma de Total Gain/Loss" fld="10" baseField="0" baseItem="0"/>
  </dataFields>
  <formats count="1">
    <format dxfId="1">
      <pivotArea grandRow="1" outline="0" collapsedLevelsAreSubtotals="1" fieldPosition="0"/>
    </format>
  </formats>
  <chartFormats count="10">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0" count="1" selected="0">
            <x v="0"/>
          </reference>
        </references>
      </pivotArea>
    </chartFormat>
    <chartFormat chart="2" format="4">
      <pivotArea type="data" outline="0" fieldPosition="0">
        <references count="2">
          <reference field="4294967294" count="1" selected="0">
            <x v="0"/>
          </reference>
          <reference field="0" count="1" selected="0">
            <x v="1"/>
          </reference>
        </references>
      </pivotArea>
    </chartFormat>
    <chartFormat chart="2" format="5">
      <pivotArea type="data" outline="0" fieldPosition="0">
        <references count="2">
          <reference field="4294967294" count="1" selected="0">
            <x v="0"/>
          </reference>
          <reference field="0" count="1" selected="0">
            <x v="2"/>
          </reference>
        </references>
      </pivotArea>
    </chartFormat>
    <chartFormat chart="2" format="6">
      <pivotArea type="data" outline="0" fieldPosition="0">
        <references count="2">
          <reference field="4294967294" count="1" selected="0">
            <x v="0"/>
          </reference>
          <reference field="0" count="1" selected="0">
            <x v="3"/>
          </reference>
        </references>
      </pivotArea>
    </chartFormat>
    <chartFormat chart="2" format="7">
      <pivotArea type="data" outline="0" fieldPosition="0">
        <references count="2">
          <reference field="4294967294" count="1" selected="0">
            <x v="0"/>
          </reference>
          <reference field="0" count="1" selected="0">
            <x v="4"/>
          </reference>
        </references>
      </pivotArea>
    </chartFormat>
    <chartFormat chart="2" format="8">
      <pivotArea type="data" outline="0" fieldPosition="0">
        <references count="2">
          <reference field="4294967294" count="1" selected="0">
            <x v="0"/>
          </reference>
          <reference field="0" count="1" selected="0">
            <x v="5"/>
          </reference>
        </references>
      </pivotArea>
    </chartFormat>
    <chartFormat chart="2" format="9">
      <pivotArea type="data" outline="0" fieldPosition="0">
        <references count="2">
          <reference field="4294967294" count="1" selected="0">
            <x v="0"/>
          </reference>
          <reference field="0" count="1" selected="0">
            <x v="6"/>
          </reference>
        </references>
      </pivotArea>
    </chartFormat>
    <chartFormat chart="2" format="10">
      <pivotArea type="data" outline="0" fieldPosition="0">
        <references count="2">
          <reference field="4294967294" count="1" selected="0">
            <x v="0"/>
          </reference>
          <reference field="0"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A5DE360-CE1E-F34F-95D4-B9BF2EA94C24}" name="TablaDinámica7" cacheId="328"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3">
  <location ref="A1:B7" firstHeaderRow="1" firstDataRow="1" firstDataCol="1"/>
  <pivotFields count="12">
    <pivotField showAll="0"/>
    <pivotField showAll="0"/>
    <pivotField showAll="0"/>
    <pivotField dataField="1" showAll="0"/>
    <pivotField axis="axisRow" showAll="0">
      <items count="8">
        <item h="1" x="5"/>
        <item x="1"/>
        <item x="2"/>
        <item x="3"/>
        <item x="4"/>
        <item x="0"/>
        <item h="1" m="1" x="6"/>
        <item t="default"/>
      </items>
    </pivotField>
    <pivotField showAll="0"/>
    <pivotField showAll="0"/>
    <pivotField showAll="0"/>
    <pivotField showAll="0"/>
    <pivotField showAll="0"/>
    <pivotField showAll="0"/>
    <pivotField showAll="0"/>
  </pivotFields>
  <rowFields count="1">
    <field x="4"/>
  </rowFields>
  <rowItems count="6">
    <i>
      <x v="1"/>
    </i>
    <i>
      <x v="2"/>
    </i>
    <i>
      <x v="3"/>
    </i>
    <i>
      <x v="4"/>
    </i>
    <i>
      <x v="5"/>
    </i>
    <i t="grand">
      <x/>
    </i>
  </rowItems>
  <colItems count="1">
    <i/>
  </colItems>
  <dataFields count="1">
    <dataField name="Suma de Market Value" fld="3" baseField="0" baseItem="0"/>
  </dataFields>
  <formats count="1">
    <format dxfId="0">
      <pivotArea grandRow="1"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CA670F4-EFDA-4F42-A60B-132E74187273}" name="TablaDinámica9" cacheId="328"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4">
  <location ref="G1:H10" firstHeaderRow="1" firstDataRow="1" firstDataCol="1"/>
  <pivotFields count="12">
    <pivotField axis="axisRow" showAll="0">
      <items count="10">
        <item x="0"/>
        <item x="6"/>
        <item x="4"/>
        <item x="5"/>
        <item x="1"/>
        <item x="3"/>
        <item x="2"/>
        <item h="1" x="8"/>
        <item x="7"/>
        <item t="default"/>
      </items>
    </pivotField>
    <pivotField showAll="0"/>
    <pivotField showAll="0"/>
    <pivotField dataField="1" showAll="0"/>
    <pivotField showAll="0"/>
    <pivotField showAll="0"/>
    <pivotField showAll="0"/>
    <pivotField showAll="0"/>
    <pivotField showAll="0"/>
    <pivotField showAll="0"/>
    <pivotField showAll="0"/>
    <pivotField showAll="0"/>
  </pivotFields>
  <rowFields count="1">
    <field x="0"/>
  </rowFields>
  <rowItems count="9">
    <i>
      <x/>
    </i>
    <i>
      <x v="1"/>
    </i>
    <i>
      <x v="2"/>
    </i>
    <i>
      <x v="3"/>
    </i>
    <i>
      <x v="4"/>
    </i>
    <i>
      <x v="5"/>
    </i>
    <i>
      <x v="6"/>
    </i>
    <i>
      <x v="8"/>
    </i>
    <i t="grand">
      <x/>
    </i>
  </rowItems>
  <colItems count="1">
    <i/>
  </colItems>
  <dataFields count="1">
    <dataField name="Suma de Market Value" fld="3" baseField="0" baseItem="0"/>
  </dataFields>
  <formats count="1">
    <format dxfId="2">
      <pivotArea grandRow="1"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imageurl">
      <keyFlags>
        <key name="Blip Identifier">
          <flag name="ShowInCardView" value="0"/>
        </key>
      </keyFlags>
    </type>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28">
  <rv s="0">
    <v>https://www.bing.com/financeapi/forcetrigger?t=a1mou2&amp;q=XNAS%3aAAPL&amp;form=skydnc</v>
    <v>Learn more on Bing</v>
  </rv>
  <rv s="1">
    <v>0</v>
    <v>1</v>
    <v>APPLE INC. (XNAS:AAPL)</v>
    <v>3</v>
    <v>4</v>
    <v>Finance</v>
    <v>5</v>
    <v>es-ES</v>
    <v>a1mou2</v>
    <v>268435456</v>
    <v>1</v>
    <v>Con tecnología de Refinitiv</v>
    <v>XNAS</v>
    <v>14667690000</v>
    <v>1977</v>
    <v>278.85500000000002</v>
    <v>1.0608</v>
    <v>8.7899999999999991</v>
    <v>3.2393999999999999E-2</v>
    <v>-0.04</v>
    <v>-1.428E-4</v>
    <v>4109006676600</v>
    <v>271.35000000000002</v>
    <v>Apple Inc. Diseña, fabrica y comercializa teléfonos inteligentes, computadoras personales, tabletas, wearables y accesorios, y vende una variedad de servicios relacionados. Sus categorías de productos incluyen iPhone, Mac, iPad y Wearables, Hogar y Accesorios. Sus plataformas de software incluyen iOS, iPadOS, macOS, watchOS, visionOS, y tvOS. Sus servicios incluyen publicidad, AppleCare, servicios en la nube, contenido digital y servicios de pago. La Compañía opera varias plataformas, incluida la App Store, que permiten a los clientes descubrir y descargar aplicaciones y contenido digital, como libros, música, video, juegos y podcasts. También ofrece contenido digital a través de servicios basados en suscripción, como Apple Arcade, Apple Fitness+, Apple Music, Apple News+, Apple y Apple TV+. Sus productos incluyen iPhone 16 Pro, iPhone 16, iPhone 15, iPhone 14, iPhone SE, MacBook Air, MacBook Pro, iMac, Mac mini, Mac Studio, Mac Pro, iPad Pro, iPad Air, AirPods, AirPods Pro, AirPods Max, Apple TV y Apple Visión Pro.</v>
    <v>166000</v>
    <v>XNAS</v>
    <v>46143.999995995313</v>
    <v>Nasdaq Stock Market</v>
    <v>0</v>
    <v>287.22000000000003</v>
    <v>288.62</v>
    <v>278.37</v>
    <v>193.25</v>
    <v>USD</v>
    <v>APPLE INC.</v>
    <v>APPLE INC.</v>
    <v>32.955500000000001</v>
    <v>280.14</v>
    <v>280.10000000000002</v>
    <v>Computers, Phones &amp; Household Electronics</v>
    <v>One Apple Park Way, CUPERTINO, CA, 95014 US</v>
    <v>AAPL</v>
    <v>Acciones</v>
    <v>APPLE INC. (XNAS:AAPL)</v>
    <v>79915442</v>
    <v>43451177</v>
  </rv>
  <rv s="2">
    <v>1</v>
  </rv>
  <rv s="0">
    <v>http://en.wikipedia.org/wiki/Public_domain</v>
    <v>Public domain</v>
  </rv>
  <rv s="0">
    <v>https://en.wikipedia.org/wiki/Microsoft</v>
    <v>Wikipedia</v>
  </rv>
  <rv s="3">
    <v>3</v>
    <v>4</v>
  </rv>
  <rv s="4">
    <v>11</v>
    <v>https://www.bing.com/th?id=AMMS_e6e837c7bf3a77408619758b7447855a&amp;qlt=95</v>
    <v>5</v>
    <v>0</v>
    <v>https://www.bing.com/images/search?form=xlimg&amp;q=microsoft</v>
    <v>Image of MICROSOFT CORPORATION</v>
  </rv>
  <rv s="0">
    <v>https://www.bing.com/financeapi/forcetrigger?t=a1xzim&amp;q=XNAS%3aMSFT&amp;form=skydnc</v>
    <v>Learn more on Bing</v>
  </rv>
  <rv s="5">
    <v>6</v>
    <v>7</v>
    <v>MICROSOFT CORPORATION (XNAS:MSFT)</v>
    <v>9</v>
    <v>10</v>
    <v>Finance</v>
    <v>5</v>
    <v>es-ES</v>
    <v>a1xzim</v>
    <v>268435456</v>
    <v>1</v>
    <v>Con tecnología de Refinitiv</v>
    <v>XNAS</v>
    <v>7428435000</v>
    <v>1993</v>
    <v>412.8</v>
    <v>1.0916999999999999</v>
    <v>6.66</v>
    <v>1.6331999999999999E-2</v>
    <v>-1.19</v>
    <v>-2.8710000000000003E-3</v>
    <v>3078640601400</v>
    <v>407.78</v>
    <v>Microsoft Corporation es una empresa de tecnología. La Compañía desarrolla y apoya software, servicios, dispositivos y soluciones. Los segmentos de la compañía incluyen Productividad y Procesos de Negocio, Nube Inteligente y más Informática Personal. El segmento Productividad y Procesos de Negocio está formado por productos y servicios en su cartera de servicios de productividad, comunicación e información. Este segmento comprende principalmente: Office Commercial, Office Consumer, LinkedIn y soluciones empresariales de Dynamics. El segmento de la nube inteligente consiste en productos de servidor y servicios en la nube, incluidos Azure y otros servicios en la nube, SQL Server, Windows Server, Visual Studio, System Center y Windows Server. licencias de acceso de clientes (CAL) relacionadas, Nuance y GitHub; y Servicios empresariales, incluidos los servicios de soporte empresarial, las soluciones de la industria y los servicios profesionales de Nuance. El segmento más personal de Computación comprende principalmente Windows, dispositivos, juegos y publicidad de búsqueda y noticias.</v>
    <v>228000</v>
    <v>XNAS</v>
    <v>46143.999984779686</v>
    <v>6</v>
    <v>Nasdaq Stock Market</v>
    <v>7</v>
    <v>417.11</v>
    <v>555.45000000000005</v>
    <v>410.435</v>
    <v>356.28</v>
    <v>USD</v>
    <v>MICROSOFT CORPORATION</v>
    <v>MICROSOFT CORPORATION</v>
    <v>24.287600000000001</v>
    <v>414.44</v>
    <v>413.25</v>
    <v>Software &amp; IT Services</v>
    <v>One Microsoft Way, REDMOND, WA, 98052 US</v>
    <v>MSFT</v>
    <v>Acciones</v>
    <v>MICROSOFT CORPORATION (XNAS:MSFT)</v>
    <v>31372361</v>
    <v>35251215</v>
  </rv>
  <rv s="2">
    <v>8</v>
  </rv>
  <rv s="0">
    <v>https://www.bing.com/financeapi/forcetrigger?t=a23hqh&amp;q=ARCX%3aSPY&amp;form=skydnc</v>
    <v>Learn more on Bing</v>
  </rv>
  <rv s="6">
    <v>12</v>
    <v>13</v>
    <v>State Street SPDR S&amp;P500 (ARCX:SPY)</v>
    <v>14</v>
    <v>15</v>
    <v>Finance</v>
    <v>16</v>
    <v>es-ES</v>
    <v>a23hqh</v>
    <v>268435456</v>
    <v>1</v>
    <v>Con tecnología de Refinitiv</v>
    <v>ARCX</v>
    <v>721.25</v>
    <v>0.99870000000000003</v>
    <v>1.99</v>
    <v>2.7689999999999998E-3</v>
    <v>-0.65</v>
    <v>-9.0200000000000002E-4</v>
    <v>735060829033.51001</v>
    <v>718.66</v>
    <v>46143.99990958281</v>
    <v>9.4499999999999998E-4</v>
    <v>NYSE Arca</v>
    <v>10</v>
    <v>724.87</v>
    <v>724.87</v>
    <v>720.47</v>
    <v>556.04</v>
    <v>USD</v>
    <v>State Street SPDR S&amp;P500</v>
    <v>720.65</v>
    <v>720</v>
    <v>SPY</v>
    <v>ETF</v>
    <v>State Street SPDR S&amp;P500 (ARCX:SPY)</v>
    <v>43049849</v>
    <v>62079874</v>
  </rv>
  <rv s="2">
    <v>11</v>
  </rv>
  <rv s="0">
    <v>https://www.bing.com/financeapi/forcetrigger?t=a1yv52&amp;q=XNAS%3aNVDA&amp;form=skydnc</v>
    <v>Learn more on Bing</v>
  </rv>
  <rv s="1">
    <v>0</v>
    <v>1</v>
    <v>NVIDIA CORPORATION (XNAS:NVDA)</v>
    <v>3</v>
    <v>4</v>
    <v>Finance</v>
    <v>5</v>
    <v>es-ES</v>
    <v>a1yv52</v>
    <v>268435456</v>
    <v>1</v>
    <v>Con tecnología de Refinitiv</v>
    <v>XNAS</v>
    <v>24300000000</v>
    <v>1998</v>
    <v>201.28</v>
    <v>2.2473999999999998</v>
    <v>-1.1200000000000001</v>
    <v>-5.6120000000000007E-3</v>
    <v>-0.33</v>
    <v>-1.663E-3</v>
    <v>4822335000000</v>
    <v>199.57</v>
    <v>NVIDIA Corporation es una empresa de infraestructura de computación completa. La Compañía se dedica a la computación acelerada para ayudar a resolver los problemas computacionales desafiantes. Los segmentos de la Compañía incluyen Compute &amp; Networking y Gráficos. El segmento Compute &amp; Networking incluye sus plataformas de computación acelerada de centros de datos y soluciones y software de inteligencia artificial (IA); redes; plataformas automotrices y soluciones de vehículos autónomos y eléctricos; Jetson para robótica y otras plataformas integradas, y servicios de computación en la nube DGX. El segmento de gráficos incluye GPU GeForce para juegos y PC, el servicio de streaming de juegos GeForce NOW e infraestructura relacionada, y soluciones para plataformas de juegos; GPU Quadro/NVIDIA RTX para gráficos de estaciones de trabajo empresariales; software de GPU virtual para computación visual y virtual basada en la nube; plataformas automotrices para sistemas de infoentretenimiento y software Omniverse Enterprise para construir y operar aplicaciones industriales de IA y gemelas digitales.</v>
    <v>42000</v>
    <v>XNAS</v>
    <v>46143.99999177031</v>
    <v>Nasdaq Stock Market</v>
    <v>13</v>
    <v>203</v>
    <v>216.82499999999999</v>
    <v>197.12</v>
    <v>110.822</v>
    <v>USD</v>
    <v>NVIDIA CORPORATION</v>
    <v>NVIDIA CORPORATION</v>
    <v>40.713999999999999</v>
    <v>198.45</v>
    <v>198.12</v>
    <v>Semiconductors &amp; Semiconductor Equipment</v>
    <v>2788 San Tomas Expressway, SANTA CLARA, CA, 95051 US</v>
    <v>NVDA</v>
    <v>Acciones</v>
    <v>NVIDIA CORPORATION (XNAS:NVDA)</v>
    <v>128646996</v>
    <v>156948876</v>
  </rv>
  <rv s="2">
    <v>14</v>
  </rv>
  <rv s="0">
    <v>https://www.bing.com/financeapi/forcetrigger?t=a1twnm&amp;q=ARCX%3aGLD&amp;form=skydnc</v>
    <v>Learn more on Bing</v>
  </rv>
  <rv s="6">
    <v>12</v>
    <v>13</v>
    <v>SPDR Gold (ARCX:GLD)</v>
    <v>14</v>
    <v>15</v>
    <v>Finance</v>
    <v>16</v>
    <v>es-ES</v>
    <v>a1twnm</v>
    <v>268435456</v>
    <v>1</v>
    <v>Con tecnología de Refinitiv</v>
    <v>ARCX</v>
    <v>421.41199999999998</v>
    <v>0.82499999999999996</v>
    <v>-0.48</v>
    <v>-1.1329999999999999E-3</v>
    <v>-0.08</v>
    <v>-1.8900000000000001E-4</v>
    <v>155110824523.87</v>
    <v>423.66</v>
    <v>46143.999899779687</v>
    <v>4.0000000000000001E-3</v>
    <v>NYSE Arca</v>
    <v>16</v>
    <v>427.93</v>
    <v>509.7</v>
    <v>421.08</v>
    <v>291.77999999999997</v>
    <v>USD</v>
    <v>SPDR Gold</v>
    <v>423.18</v>
    <v>423.1</v>
    <v>GLD</v>
    <v>ETF</v>
    <v>SPDR Gold (ARCX:GLD)</v>
    <v>5911487</v>
    <v>8056628</v>
  </rv>
  <rv s="2">
    <v>17</v>
  </rv>
  <rv s="0">
    <v>https://www.bing.com/financeapi/forcetrigger?t=a1waa2&amp;q=XNYS%3aJPM&amp;form=skydnc</v>
    <v>Learn more on Bing</v>
  </rv>
  <rv s="1">
    <v>0</v>
    <v>1</v>
    <v>JPMORGAN CHASE &amp; CO. (XNYS:JPM)</v>
    <v>3</v>
    <v>4</v>
    <v>Finance</v>
    <v>5</v>
    <v>es-ES</v>
    <v>a1waa2</v>
    <v>268435456</v>
    <v>1</v>
    <v>Con tecnología de Refinitiv</v>
    <v>XNYS</v>
    <v>2682220000</v>
    <v>1968</v>
    <v>313.95</v>
    <v>1.0255000000000001</v>
    <v>-0.76</v>
    <v>-2.4260000000000002E-3</v>
    <v>-0.72640000000000005</v>
    <v>-2.3250000000000002E-3</v>
    <v>838113283400</v>
    <v>313.23</v>
    <v>JPMorgan Chase &amp; Co. Es una sociedad financiera de cartera. La Compañía se dedica a la banca de inversión, servicios financieros para consumidores y pequeñas empresas, banca comercial, procesamiento de transacciones financieras y gestión de activos. La empresa opera a través de tres segmentos: Banca de Consumo y Comunitaria (CCB), Banco Comercial e Inversión (CIB) y Gestión de Activos y Patrimonio (AWM). Su segmento CCB ofrece productos y servicios a consumidores y pequeñas empresas a través de sucursales bancarias, cajeros automáticos, banca digital y telefónica. Su segmento CIB consiste en banca y pagos y mercados y servicios de valores, y ofrece un conjunto de servicios de banca de inversión, préstamos, pagos, creación de mercado, financiamiento, etc. productos y servicios de custodia y valores a una base global de clientes corporativos e institucionales. AWM Segment ofrece soluciones de inversión y gestión patrimonial. Ofrece soluciones de gestión de inversiones de activos múltiples, productos y servicios de jubilación, corretaje, custodia, planificación patrimonial y otros.</v>
    <v>320079</v>
    <v>XNYS</v>
    <v>46143.999936365624</v>
    <v>New York Stock Exchange</v>
    <v>19</v>
    <v>316.08</v>
    <v>337.25</v>
    <v>311.83</v>
    <v>248.83</v>
    <v>USD</v>
    <v>JPMORGAN CHASE &amp; CO.</v>
    <v>JPMORGAN CHASE &amp; CO.</v>
    <v>15.000299999999999</v>
    <v>312.47000000000003</v>
    <v>311.74360000000001</v>
    <v>Banking Services</v>
    <v>270 Park Avenue, NEW YORK, NY, 10017 US</v>
    <v>JPM</v>
    <v>Acciones</v>
    <v>JPMORGAN CHASE &amp; CO. (XNYS:JPM)</v>
    <v>6135359</v>
    <v>8646685</v>
  </rv>
  <rv s="2">
    <v>20</v>
  </rv>
  <rv s="0">
    <v>https://www.bing.com/financeapi/forcetrigger?t=a1nhlh&amp;q=XNAS%3aAMZN&amp;form=skydnc</v>
    <v>Learn more on Bing</v>
  </rv>
  <rv s="1">
    <v>0</v>
    <v>1</v>
    <v>AMAZON.COM, INC. (XNAS:AMZN)</v>
    <v>3</v>
    <v>4</v>
    <v>Finance</v>
    <v>5</v>
    <v>es-ES</v>
    <v>a1nhlh</v>
    <v>268435456</v>
    <v>1</v>
    <v>Con tecnología de Refinitiv</v>
    <v>XNAS</v>
    <v>10757110000</v>
    <v>1996</v>
    <v>265.58</v>
    <v>1.4643999999999999</v>
    <v>3.2</v>
    <v>1.2073E-2</v>
    <v>-0.59</v>
    <v>-2.199E-3</v>
    <v>2885702328600</v>
    <v>265.06</v>
    <v>Amazon.com, Inc. Ofrece una gama de productos y servicios a los clientes. Los productos ofrecidos a través de sus tiendas incluyen mercancía y contenido que ha adquirido para su reventa y productos ofrecidos por terceros vendedores. Los segmentos de la compañía incluyen Norteamérica, International y Amazon Web Services (AWS). Sirve a los consumidores a través de sus tiendas en línea y físicas y se centra en la selección, el precio y la conveniencia. Los clientes acceden a sus ofertas a través de sus sitios web, aplicaciones móviles, Alexa, dispositivos, streaming, y visitando físicamente sus tiendas. También fabrica y vende dispositivos electrónicos, incluyendo Kindle, tableta de fuego, Fire TV, Echo, Ring, Blink y eero, y desarrolla y produce contenido multimedia. Presta servicios a desarrolladores y empresas de todos los tamaños, incluidas empresas emergentes, agencias gubernamentales e instituciones académicas, a través de AWS, que ofrece un conjunto de servicios de tecnología bajo demanda, incluyendo computación, almacenamiento, base de datos, análisis, y el aprendizaje automático, y otros servicios.</v>
    <v>1575000</v>
    <v>XNAS</v>
    <v>46143.999998251566</v>
    <v>Nasdaq Stock Market</v>
    <v>22</v>
    <v>273.315</v>
    <v>273.88</v>
    <v>262.74</v>
    <v>183.85</v>
    <v>USD</v>
    <v>AMAZON.COM, INC.</v>
    <v>AMAZON.COM, INC.</v>
    <v>31.676600000000001</v>
    <v>268.26</v>
    <v>267.67</v>
    <v>Diversified Retail</v>
    <v>410 Terry Avenue North, SEATTLE, WA, 98109 US</v>
    <v>AMZN</v>
    <v>Acciones</v>
    <v>AMAZON.COM, INC. (XNAS:AMZN)</v>
    <v>50825231</v>
    <v>49444501</v>
  </rv>
  <rv s="2">
    <v>23</v>
  </rv>
  <rv s="0">
    <v>https://www.bing.com/financeapi/forcetrigger?t=a1u3rw&amp;q=XNAS%3aGOOGL&amp;form=skydnc</v>
    <v>Learn more on Bing</v>
  </rv>
  <rv s="1">
    <v>0</v>
    <v>1</v>
    <v>ALPHABET INC. (XNAS:GOOGL)</v>
    <v>3</v>
    <v>4</v>
    <v>Finance</v>
    <v>5</v>
    <v>es-ES</v>
    <v>a1u3rw</v>
    <v>268435456</v>
    <v>1</v>
    <v>Con tecnología de Refinitiv</v>
    <v>XNAS</v>
    <v>12116000000</v>
    <v>2015</v>
    <v>381.63</v>
    <v>1.2666999999999999</v>
    <v>0.89</v>
    <v>2.313E-3</v>
    <v>-0.34599999999999997</v>
    <v>-8.9709999999999996E-4</v>
    <v>4673020040000</v>
    <v>384.8</v>
    <v>Alphabet Inc. Es una compañía holding. Los segmentos de la Compañía incluyen Google Services, Google Cloud y otras apuestas. El segmento de Servicios de Google incluye productos y servicios como anuncios, Android, Chrome, dispositivos, Google Maps, Google Maps, etc. Google Play, Búsqueda y YouTube. El segmento de Google Cloud incluye servicios de infraestructura y plataforma, herramientas de colaboración y otros servicios para clientes empresariales. Su otro segmento de apuestas se dedica a la venta de servicios relacionados con la salud y servicios de Internet. Google Cloud ofrece servicios en la nube listos para la empresa, incluidos Google Cloud Platform y Google Workspace. Google Cloud Platform proporciona acceso a soluciones como las ofertas de inteligencia artificial (IA), incluida su infraestructura de IA, la plataforma Vertex AI y Gemini para Google Cloud; ciberseguridad y datos y análisis. Google Workspace incluye herramientas de comunicación y colaboración basadas en la nube para empresas, como Calendar, Gmail, Docs, Drive, y reunirse.</v>
    <v>194668</v>
    <v>XNAS</v>
    <v>46143.999938437497</v>
    <v>Nasdaq Stock Market</v>
    <v>25</v>
    <v>386.76</v>
    <v>386.76</v>
    <v>379.05</v>
    <v>147.84</v>
    <v>USD</v>
    <v>ALPHABET INC.</v>
    <v>ALPHABET INC.</v>
    <v>29.3292</v>
    <v>385.69</v>
    <v>385.34399999999999</v>
    <v>Software &amp; IT Services</v>
    <v>1600 Amphitheatre Parkway, MOUNTAIN VIEW, CA, 94043 US</v>
    <v>GOOGL</v>
    <v>Acciones</v>
    <v>ALPHABET INC. (XNAS:GOOGL)</v>
    <v>30105226</v>
    <v>28746126</v>
  </rv>
  <rv s="2">
    <v>26</v>
  </rv>
</rvData>
</file>

<file path=xl/richData/rdrichvaluestructure.xml><?xml version="1.0" encoding="utf-8"?>
<rvStructures xmlns="http://schemas.microsoft.com/office/spreadsheetml/2017/richdata" count="7">
  <s t="_hyperlink">
    <k n="Address" t="s"/>
    <k n="Text" t="s"/>
  </s>
  <s t="_linkedentitycore">
    <k n="_CanonicalPropertyNames" t="spb"/>
    <k n="_Display" t="spb"/>
    <k n="_DisplayString" t="s"/>
    <k n="_Flags" t="spb"/>
    <k n="_Format" t="spb"/>
    <k n="_Icon" t="s"/>
    <k n="_SubLabel" t="spb"/>
    <k n="%EntityCulture" t="s"/>
    <k n="%EntityId" t="s"/>
    <k n="%EntityServiceId"/>
    <k n="%IsRefreshable" t="b"/>
    <k n="%ProviderInfo" t="s"/>
    <k n="Abreviatura de intercambio" t="s"/>
    <k n="Acciones en circulación"/>
    <k n="Año de constitución"/>
    <k n="Apertura"/>
    <k n="Beta"/>
    <k n="Cambio"/>
    <k n="Cambio (%)"/>
    <k n="Cambio (horario ampliado)"/>
    <k n="Cambio % (horario ampliado)"/>
    <k n="Capitalización de mercado"/>
    <k n="Cierre anterior"/>
    <k n="Descripción" t="s"/>
    <k n="Empleados"/>
    <k n="ExchangeID" t="s"/>
    <k n="Hora de la última operación"/>
    <k n="Intercambio" t="s"/>
    <k n="LearnMoreOnLink" t="r"/>
    <k n="Máximo"/>
    <k n="Máximo en 52 semanas"/>
    <k n="Mínimo"/>
    <k n="Mínimo en 52 semanas"/>
    <k n="Moneda" t="s"/>
    <k n="Nombre" t="s"/>
    <k n="Nombre oficial" t="s"/>
    <k n="P/I"/>
    <k n="Precio"/>
    <k n="Precio (horario ampliado)"/>
    <k n="Sector" t="s"/>
    <k n="Sede central" t="s"/>
    <k n="Símbolo bursátil" t="s"/>
    <k n="Tipo de instrumento" t="s"/>
    <k n="UniqueName" t="s"/>
    <k n="Volumen"/>
    <k n="Volumen promedio"/>
  </s>
  <s t="_linkedentity">
    <k n="%cvi" t="r"/>
  </s>
  <s t="_sourceattribution">
    <k n="License" t="r"/>
    <k n="Source" t="r"/>
  </s>
  <s t="_imageurl">
    <k n="_Provider" t="spb"/>
    <k n="Address" t="s"/>
    <k n="Attribution" t="r"/>
    <k n="ComputedImage" t="b"/>
    <k n="More Images Address" t="s"/>
    <k n="Text" t="s"/>
  </s>
  <s t="_linkedentitycore">
    <k n="_CanonicalPropertyNames" t="spb"/>
    <k n="_Display" t="spb"/>
    <k n="_DisplayString" t="s"/>
    <k n="_Flags" t="spb"/>
    <k n="_Format" t="spb"/>
    <k n="_Icon" t="s"/>
    <k n="_SubLabel" t="spb"/>
    <k n="%EntityCulture" t="s"/>
    <k n="%EntityId" t="s"/>
    <k n="%EntityServiceId"/>
    <k n="%IsRefreshable" t="b"/>
    <k n="%ProviderInfo" t="s"/>
    <k n="Abreviatura de intercambio" t="s"/>
    <k n="Acciones en circulación"/>
    <k n="Año de constitución"/>
    <k n="Apertura"/>
    <k n="Beta"/>
    <k n="Cambio"/>
    <k n="Cambio (%)"/>
    <k n="Cambio (horario ampliado)"/>
    <k n="Cambio % (horario ampliado)"/>
    <k n="Capitalización de mercado"/>
    <k n="Cierre anterior"/>
    <k n="Descripción" t="s"/>
    <k n="Empleados"/>
    <k n="ExchangeID" t="s"/>
    <k n="Hora de la última operación"/>
    <k n="Imagen" t="r"/>
    <k n="Intercambio" t="s"/>
    <k n="LearnMoreOnLink" t="r"/>
    <k n="Máximo"/>
    <k n="Máximo en 52 semanas"/>
    <k n="Mínimo"/>
    <k n="Mínimo en 52 semanas"/>
    <k n="Moneda" t="s"/>
    <k n="Nombre" t="s"/>
    <k n="Nombre oficial" t="s"/>
    <k n="P/I"/>
    <k n="Precio"/>
    <k n="Precio (horario ampliado)"/>
    <k n="Sector" t="s"/>
    <k n="Sede central" t="s"/>
    <k n="Símbolo bursátil" t="s"/>
    <k n="Tipo de instrumento" t="s"/>
    <k n="UniqueName" t="s"/>
    <k n="Volumen"/>
    <k n="Volumen promedio"/>
  </s>
  <s t="_linkedentitycore">
    <k n="_CanonicalPropertyNames" t="spb"/>
    <k n="_Display" t="spb"/>
    <k n="_DisplayString" t="s"/>
    <k n="_Flags" t="spb"/>
    <k n="_Format" t="spb"/>
    <k n="_Icon" t="s"/>
    <k n="_SubLabel" t="spb"/>
    <k n="%EntityCulture" t="s"/>
    <k n="%EntityId" t="s"/>
    <k n="%EntityServiceId"/>
    <k n="%IsRefreshable" t="b"/>
    <k n="%ProviderInfo" t="s"/>
    <k n="Abreviatura de intercambio" t="s"/>
    <k n="Apertura"/>
    <k n="Beta"/>
    <k n="Cambio"/>
    <k n="Cambio (%)"/>
    <k n="Cambio (horario ampliado)"/>
    <k n="Cambio % (horario ampliado)"/>
    <k n="Capitalización de mercado"/>
    <k n="Cierre anterior"/>
    <k n="Hora de la última operación"/>
    <k n="Índice de gastos"/>
    <k n="Intercambio" t="s"/>
    <k n="LearnMoreOnLink" t="r"/>
    <k n="Máximo"/>
    <k n="Máximo en 52 semanas"/>
    <k n="Mínimo"/>
    <k n="Mínimo en 52 semanas"/>
    <k n="Moneda" t="s"/>
    <k n="Nombre" t="s"/>
    <k n="Precio"/>
    <k n="Precio (horario ampliado)"/>
    <k n="Símbolo bursátil" t="s"/>
    <k n="Tipo de instrumento" t="s"/>
    <k n="UniqueName" t="s"/>
    <k n="Volumen"/>
    <k n="Volumen promedio"/>
  </s>
</rvStructures>
</file>

<file path=xl/richData/rdsupportingpropertybag.xml><?xml version="1.0" encoding="utf-8"?>
<supportingPropertyBags xmlns="http://schemas.microsoft.com/office/spreadsheetml/2017/richdata2">
  <spbArrays count="3">
    <a count="46">
      <v t="s">%EntityServiceId</v>
      <v t="s">_Format</v>
      <v t="s">%IsRefreshable</v>
      <v t="s">_CanonicalPropertyNames</v>
      <v t="s">%EntityCulture</v>
      <v t="s">%EntityId</v>
      <v t="s">_Icon</v>
      <v t="s">_Display</v>
      <v t="s">Nombre</v>
      <v t="s">_SubLabel</v>
      <v t="s">Precio</v>
      <v t="s">Precio (horario ampliado)</v>
      <v t="s">Intercambio</v>
      <v t="s">Nombre oficial</v>
      <v t="s">Hora de la última operación</v>
      <v t="s">Símbolo bursátil</v>
      <v t="s">Abreviatura de intercambio</v>
      <v t="s">Cambio</v>
      <v t="s">Cambio (horario ampliado)</v>
      <v t="s">Cambio (%)</v>
      <v t="s">Cambio % (horario ampliado)</v>
      <v t="s">Moneda</v>
      <v t="s">Cierre anterior</v>
      <v t="s">Apertura</v>
      <v t="s">Máximo</v>
      <v t="s">Mínimo</v>
      <v t="s">Máximo en 52 semanas</v>
      <v t="s">Mínimo en 52 semanas</v>
      <v t="s">Volumen</v>
      <v t="s">Volumen promedio</v>
      <v t="s">Capitalización de mercado</v>
      <v t="s">Beta</v>
      <v t="s">P/I</v>
      <v t="s">Acciones en circulación</v>
      <v t="s">Descripción</v>
      <v t="s">Empleados</v>
      <v t="s">Sede central</v>
      <v t="s">Sector</v>
      <v t="s">Tipo de instrumento</v>
      <v t="s">Año de constitución</v>
      <v t="s">_Flags</v>
      <v t="s">UniqueName</v>
      <v t="s">_DisplayString</v>
      <v t="s">LearnMoreOnLink</v>
      <v t="s">ExchangeID</v>
      <v t="s">%ProviderInfo</v>
    </a>
    <a count="47">
      <v t="s">%EntityServiceId</v>
      <v t="s">_Format</v>
      <v t="s">%IsRefreshable</v>
      <v t="s">_CanonicalPropertyNames</v>
      <v t="s">%EntityCulture</v>
      <v t="s">%EntityId</v>
      <v t="s">_Icon</v>
      <v t="s">_Display</v>
      <v t="s">Nombre</v>
      <v t="s">_SubLabel</v>
      <v t="s">Precio</v>
      <v t="s">Precio (horario ampliado)</v>
      <v t="s">Intercambio</v>
      <v t="s">Nombre oficial</v>
      <v t="s">Hora de la última operación</v>
      <v t="s">Símbolo bursátil</v>
      <v t="s">Abreviatura de intercambio</v>
      <v t="s">Cambio</v>
      <v t="s">Cambio (horario ampliado)</v>
      <v t="s">Cambio (%)</v>
      <v t="s">Cambio % (horario ampliado)</v>
      <v t="s">Moneda</v>
      <v t="s">Cierre anterior</v>
      <v t="s">Apertura</v>
      <v t="s">Máximo</v>
      <v t="s">Mínimo</v>
      <v t="s">Máximo en 52 semanas</v>
      <v t="s">Mínimo en 52 semanas</v>
      <v t="s">Volumen</v>
      <v t="s">Volumen promedio</v>
      <v t="s">Capitalización de mercado</v>
      <v t="s">Beta</v>
      <v t="s">P/I</v>
      <v t="s">Acciones en circulación</v>
      <v t="s">Descripción</v>
      <v t="s">Empleados</v>
      <v t="s">Sede central</v>
      <v t="s">Sector</v>
      <v t="s">Tipo de instrumento</v>
      <v t="s">Año de constitución</v>
      <v t="s">_Flags</v>
      <v t="s">UniqueName</v>
      <v t="s">_DisplayString</v>
      <v t="s">LearnMoreOnLink</v>
      <v t="s">Imagen</v>
      <v t="s">ExchangeID</v>
      <v t="s">%ProviderInfo</v>
    </a>
    <a count="38">
      <v t="s">%EntityServiceId</v>
      <v t="s">_Format</v>
      <v t="s">%IsRefreshable</v>
      <v t="s">_CanonicalPropertyNames</v>
      <v t="s">%EntityCulture</v>
      <v t="s">%EntityId</v>
      <v t="s">_Icon</v>
      <v t="s">_Display</v>
      <v t="s">Nombre</v>
      <v t="s">_SubLabel</v>
      <v t="s">Precio</v>
      <v t="s">Precio (horario ampliado)</v>
      <v t="s">Intercambio</v>
      <v t="s">Hora de la última operación</v>
      <v t="s">Símbolo bursátil</v>
      <v t="s">Abreviatura de intercambio</v>
      <v t="s">Cambio</v>
      <v t="s">Cambio (horario ampliado)</v>
      <v t="s">Índice de gastos</v>
      <v t="s">Cambio (%)</v>
      <v t="s">Cambio % (horario ampliado)</v>
      <v t="s">Moneda</v>
      <v t="s">Cierre anterior</v>
      <v t="s">Apertura</v>
      <v t="s">Máximo</v>
      <v t="s">Mínimo</v>
      <v t="s">Máximo en 52 semanas</v>
      <v t="s">Mínimo en 52 semanas</v>
      <v t="s">Volumen</v>
      <v t="s">Volumen promedio</v>
      <v t="s">Capitalización de mercado</v>
      <v t="s">Beta</v>
      <v t="s">Tipo de instrumento</v>
      <v t="s">_Flags</v>
      <v t="s">UniqueName</v>
      <v t="s">_DisplayString</v>
      <v t="s">LearnMoreOnLink</v>
      <v t="s">%ProviderInfo</v>
    </a>
  </spbArrays>
  <spbData count="17">
    <spb s="0">
      <v>P/E</v>
      <v>Beta</v>
      <v>Change</v>
      <v>Currency</v>
      <v>High</v>
      <v>Low</v>
      <v>Name</v>
      <v>Price</v>
      <v>Industry</v>
      <v>Volume</v>
      <v>Open</v>
      <v>Employees</v>
      <v>Change (%)</v>
      <v>ExchangeID</v>
      <v>UniqueName</v>
      <v>Description</v>
      <v>Exchange</v>
      <v>Headquarters</v>
      <v>%ProviderInfo</v>
      <v>Official name</v>
      <v>Previous close</v>
      <v>LearnMoreOnLink</v>
      <v>Ticker symbol</v>
      <v>Volume average</v>
      <v>Year incorporated</v>
      <v>Instrument type</v>
      <v>52 week high</v>
      <v>52 week low</v>
      <v>Shares outstanding</v>
      <v>Change (Extended hours)</v>
      <v>Market cap</v>
      <v>Price (Extended hours)</v>
      <v>Exchange abbreviation</v>
      <v>Change % (Extended hours)</v>
      <v>Last trade time</v>
    </spb>
    <spb s="1">
      <v>0</v>
      <v>Name</v>
      <v>LearnMoreOnLink</v>
    </spb>
    <spb s="2">
      <v>0</v>
      <v>0</v>
      <v>0</v>
    </spb>
    <spb s="3">
      <v>2</v>
      <v>2</v>
      <v>2</v>
      <v>2</v>
    </spb>
    <spb s="4">
      <v>1</v>
      <v>1</v>
      <v>2</v>
      <v>2</v>
      <v>2</v>
      <v>3</v>
      <v>2</v>
      <v>4</v>
      <v>2</v>
      <v>4</v>
      <v>5</v>
      <v>2</v>
      <v>4</v>
      <v>6</v>
      <v>7</v>
      <v>2</v>
      <v>2</v>
      <v>4</v>
      <v>2</v>
      <v>8</v>
      <v>2</v>
      <v>5</v>
      <v>9</v>
    </spb>
    <spb s="5">
      <v xml:space="preserve">desde el cierre anterior </v>
      <v xml:space="preserve">al cierre </v>
      <v xml:space="preserve">desde el cierre anterior </v>
      <v>Origen: Nasdaq</v>
      <v xml:space="preserve">desde el cierre </v>
      <v>Retrasado 15 minutos</v>
      <v xml:space="preserve">desde el cierre </v>
      <v>GMT</v>
    </spb>
    <spb s="6">
      <v>P/E</v>
      <v>Beta</v>
      <v>Change</v>
      <v>Image</v>
      <v>Currency</v>
      <v>High</v>
      <v>Low</v>
      <v>Name</v>
      <v>Price</v>
      <v>Industry</v>
      <v>Volume</v>
      <v>Open</v>
      <v>Employees</v>
      <v>Change (%)</v>
      <v>ExchangeID</v>
      <v>UniqueName</v>
      <v>Description</v>
      <v>Exchange</v>
      <v>Headquarters</v>
      <v>%ProviderInfo</v>
      <v>Official name</v>
      <v>Previous close</v>
      <v>LearnMoreOnLink</v>
      <v>Ticker symbol</v>
      <v>Volume average</v>
      <v>Year incorporated</v>
      <v>Instrument type</v>
      <v>52 week high</v>
      <v>52 week low</v>
      <v>Shares outstanding</v>
      <v>Change (Extended hours)</v>
      <v>Market cap</v>
      <v>Price (Extended hours)</v>
      <v>Exchange abbreviation</v>
      <v>Change % (Extended hours)</v>
      <v>Last trade time</v>
    </spb>
    <spb s="1">
      <v>1</v>
      <v>Name</v>
      <v>LearnMoreOnLink</v>
    </spb>
    <spb s="7">
      <v>0</v>
      <v>0</v>
    </spb>
    <spb s="8">
      <v>8</v>
      <v>2</v>
      <v>2</v>
      <v>2</v>
      <v>2</v>
    </spb>
    <spb s="9">
      <v>1</v>
      <v>1</v>
      <v>2</v>
      <v>10</v>
      <v>2</v>
      <v>2</v>
      <v>3</v>
      <v>2</v>
      <v>4</v>
      <v>2</v>
      <v>4</v>
      <v>5</v>
      <v>2</v>
      <v>4</v>
      <v>6</v>
      <v>7</v>
      <v>2</v>
      <v>2</v>
      <v>4</v>
      <v>2</v>
      <v>8</v>
      <v>2</v>
      <v>5</v>
      <v>9</v>
    </spb>
    <spb s="10">
      <v>Con tecnología de Refinitiv</v>
    </spb>
    <spb s="11">
      <v>Beta</v>
      <v>Change</v>
      <v>Currency</v>
      <v>High</v>
      <v>Low</v>
      <v>Name</v>
      <v>Price</v>
      <v>Volume</v>
      <v>Open</v>
      <v>Change (%)</v>
      <v>UniqueName</v>
      <v>Exchange</v>
      <v>%ProviderInfo</v>
      <v>Previous close</v>
      <v>LearnMoreOnLink</v>
      <v>Ticker symbol</v>
      <v>Volume average</v>
      <v>Expense ratio</v>
      <v>Instrument type</v>
      <v>52 week high</v>
      <v>52 week low</v>
      <v>Change (Extended hours)</v>
      <v>Market cap</v>
      <v>Price (Extended hours)</v>
      <v>Exchange abbreviation</v>
      <v>Change % (Extended hours)</v>
      <v>Last trade time</v>
    </spb>
    <spb s="1">
      <v>2</v>
      <v>Name</v>
      <v>LearnMoreOnLink</v>
    </spb>
    <spb s="12">
      <v>2</v>
      <v>2</v>
      <v>2</v>
    </spb>
    <spb s="13">
      <v>1</v>
      <v>2</v>
      <v>2</v>
      <v>2</v>
      <v>3</v>
      <v>2</v>
      <v>4</v>
      <v>2</v>
      <v>5</v>
      <v>2</v>
      <v>4</v>
      <v>6</v>
      <v>5</v>
      <v>2</v>
      <v>2</v>
      <v>2</v>
      <v>8</v>
      <v>2</v>
      <v>5</v>
      <v>9</v>
    </spb>
    <spb s="14">
      <v xml:space="preserve">desde el cierre anterior </v>
      <v xml:space="preserve">al cierre </v>
      <v xml:space="preserve">desde el cierre anterior </v>
      <v>Origen: Nasdaq</v>
      <v xml:space="preserve">desde el cierre </v>
      <v>Retrasado 15 minutos</v>
      <v xml:space="preserve">desde el cierre </v>
      <v>GMT</v>
    </spb>
  </spbData>
</supportingPropertyBags>
</file>

<file path=xl/richData/rdsupportingpropertybagstructure.xml><?xml version="1.0" encoding="utf-8"?>
<spbStructures xmlns="http://schemas.microsoft.com/office/spreadsheetml/2017/richdata2" count="15">
  <s>
    <k n="P/I" t="s"/>
    <k n="Beta" t="s"/>
    <k n="Cambio" t="s"/>
    <k n="Moneda" t="s"/>
    <k n="Máximo" t="s"/>
    <k n="Mínimo" t="s"/>
    <k n="Nombre" t="s"/>
    <k n="Precio" t="s"/>
    <k n="Sector" t="s"/>
    <k n="Volumen" t="s"/>
    <k n="Apertura" t="s"/>
    <k n="Empleados" t="s"/>
    <k n="Cambio (%)" t="s"/>
    <k n="ExchangeID" t="s"/>
    <k n="UniqueName" t="s"/>
    <k n="Descripción" t="s"/>
    <k n="Intercambio" t="s"/>
    <k n="Sede central" t="s"/>
    <k n="%ProviderInfo" t="s"/>
    <k n="Nombre oficial" t="s"/>
    <k n="Cierre anterior" t="s"/>
    <k n="LearnMoreOnLink" t="s"/>
    <k n="Símbolo bursátil" t="s"/>
    <k n="Volumen promedio" t="s"/>
    <k n="Año de constitución" t="s"/>
    <k n="Tipo de instrumento" t="s"/>
    <k n="Máximo en 52 semanas" t="s"/>
    <k n="Mínimo en 52 semanas" t="s"/>
    <k n="Acciones en circulación" t="s"/>
    <k n="Cambio (horario ampliado)" t="s"/>
    <k n="Capitalización de mercado" t="s"/>
    <k n="Precio (horario ampliado)" t="s"/>
    <k n="Abreviatura de intercambio" t="s"/>
    <k n="Cambio % (horario ampliado)" t="s"/>
    <k n="Hora de la última operación" t="s"/>
  </s>
  <s>
    <k n="^Order" t="spba"/>
    <k n="TitleProperty" t="s"/>
    <k n="SubTitleProperty" t="s"/>
  </s>
  <s>
    <k n="ShowInCardView" t="b"/>
    <k n="ShowInDotNotation" t="b"/>
    <k n="ShowInAutoComplete" t="b"/>
  </s>
  <s>
    <k n="ExchangeID" t="spb"/>
    <k n="UniqueName" t="spb"/>
    <k n="`%ProviderInfo" t="spb"/>
    <k n="LearnMoreOnLink" t="spb"/>
  </s>
  <s>
    <k n="P/I" t="i"/>
    <k n="Beta" t="i"/>
    <k n="Cambio" t="i"/>
    <k n="Máximo" t="i"/>
    <k n="Mínimo" t="i"/>
    <k n="Nombre" t="i"/>
    <k n="Precio" t="i"/>
    <k n="Volumen" t="i"/>
    <k n="Apertura" t="i"/>
    <k n="Empleados" t="i"/>
    <k n="Cambio (%)" t="i"/>
    <k n="Cierre anterior" t="i"/>
    <k n="Volumen promedio" t="i"/>
    <k n="`%EntityServiceId" t="i"/>
    <k n="Año de constitución" t="i"/>
    <k n="Máximo en 52 semanas" t="i"/>
    <k n="Mínimo en 52 semanas" t="i"/>
    <k n="Acciones en circulación" t="i"/>
    <k n="Cambio (horario ampliado)" t="i"/>
    <k n="Capitalización de mercado" t="i"/>
    <k n="Precio (horario ampliado)" t="i"/>
    <k n="Cambio % (horario ampliado)" t="i"/>
    <k n="Hora de la última operación" t="i"/>
  </s>
  <s>
    <k n="Cambio" t="s"/>
    <k n="Precio" t="s"/>
    <k n="Cambio (%)" t="s"/>
    <k n="ExchangeID" t="s"/>
    <k n="Cambio (horario ampliado)" t="s"/>
    <k n="Precio (horario ampliado)" t="s"/>
    <k n="Cambio % (horario ampliado)" t="s"/>
    <k n="Hora de la última operación" t="s"/>
  </s>
  <s>
    <k n="P/I" t="s"/>
    <k n="Beta" t="s"/>
    <k n="Cambio" t="s"/>
    <k n="Imagen" t="s"/>
    <k n="Moneda" t="s"/>
    <k n="Máximo" t="s"/>
    <k n="Mínimo" t="s"/>
    <k n="Nombre" t="s"/>
    <k n="Precio" t="s"/>
    <k n="Sector" t="s"/>
    <k n="Volumen" t="s"/>
    <k n="Apertura" t="s"/>
    <k n="Empleados" t="s"/>
    <k n="Cambio (%)" t="s"/>
    <k n="ExchangeID" t="s"/>
    <k n="UniqueName" t="s"/>
    <k n="Descripción" t="s"/>
    <k n="Intercambio" t="s"/>
    <k n="Sede central" t="s"/>
    <k n="%ProviderInfo" t="s"/>
    <k n="Nombre oficial" t="s"/>
    <k n="Cierre anterior" t="s"/>
    <k n="LearnMoreOnLink" t="s"/>
    <k n="Símbolo bursátil" t="s"/>
    <k n="Volumen promedio" t="s"/>
    <k n="Año de constitución" t="s"/>
    <k n="Tipo de instrumento" t="s"/>
    <k n="Máximo en 52 semanas" t="s"/>
    <k n="Mínimo en 52 semanas" t="s"/>
    <k n="Acciones en circulación" t="s"/>
    <k n="Cambio (horario ampliado)" t="s"/>
    <k n="Capitalización de mercado" t="s"/>
    <k n="Precio (horario ampliado)" t="s"/>
    <k n="Abreviatura de intercambio" t="s"/>
    <k n="Cambio % (horario ampliado)" t="s"/>
    <k n="Hora de la última operación" t="s"/>
  </s>
  <s>
    <k n="ShowInDotNotation" t="b"/>
    <k n="ShowInAutoComplete" t="b"/>
  </s>
  <s>
    <k n="Imagen" t="spb"/>
    <k n="ExchangeID" t="spb"/>
    <k n="UniqueName" t="spb"/>
    <k n="`%ProviderInfo" t="spb"/>
    <k n="LearnMoreOnLink" t="spb"/>
  </s>
  <s>
    <k n="P/I" t="i"/>
    <k n="Beta" t="i"/>
    <k n="Cambio" t="i"/>
    <k n="Imagen" t="i"/>
    <k n="Máximo" t="i"/>
    <k n="Mínimo" t="i"/>
    <k n="Nombre" t="i"/>
    <k n="Precio" t="i"/>
    <k n="Volumen" t="i"/>
    <k n="Apertura" t="i"/>
    <k n="Empleados" t="i"/>
    <k n="Cambio (%)" t="i"/>
    <k n="Cierre anterior" t="i"/>
    <k n="Volumen promedio" t="i"/>
    <k n="`%EntityServiceId" t="i"/>
    <k n="Año de constitución" t="i"/>
    <k n="Máximo en 52 semanas" t="i"/>
    <k n="Mínimo en 52 semanas" t="i"/>
    <k n="Acciones en circulación" t="i"/>
    <k n="Cambio (horario ampliado)" t="i"/>
    <k n="Capitalización de mercado" t="i"/>
    <k n="Precio (horario ampliado)" t="i"/>
    <k n="Cambio % (horario ampliado)" t="i"/>
    <k n="Hora de la última operación" t="i"/>
  </s>
  <s>
    <k n="name" t="s"/>
  </s>
  <s>
    <k n="Beta" t="s"/>
    <k n="Cambio" t="s"/>
    <k n="Moneda" t="s"/>
    <k n="Máximo" t="s"/>
    <k n="Mínimo" t="s"/>
    <k n="Nombre" t="s"/>
    <k n="Precio" t="s"/>
    <k n="Volumen" t="s"/>
    <k n="Apertura" t="s"/>
    <k n="Cambio (%)" t="s"/>
    <k n="UniqueName" t="s"/>
    <k n="Intercambio" t="s"/>
    <k n="%ProviderInfo" t="s"/>
    <k n="Cierre anterior" t="s"/>
    <k n="LearnMoreOnLink" t="s"/>
    <k n="Símbolo bursátil" t="s"/>
    <k n="Volumen promedio" t="s"/>
    <k n="Índice de gastos" t="s"/>
    <k n="Tipo de instrumento" t="s"/>
    <k n="Máximo en 52 semanas" t="s"/>
    <k n="Mínimo en 52 semanas" t="s"/>
    <k n="Cambio (horario ampliado)" t="s"/>
    <k n="Capitalización de mercado" t="s"/>
    <k n="Precio (horario ampliado)" t="s"/>
    <k n="Abreviatura de intercambio" t="s"/>
    <k n="Cambio % (horario ampliado)" t="s"/>
    <k n="Hora de la última operación" t="s"/>
  </s>
  <s>
    <k n="UniqueName" t="spb"/>
    <k n="`%ProviderInfo" t="spb"/>
    <k n="LearnMoreOnLink" t="spb"/>
  </s>
  <s>
    <k n="Beta" t="i"/>
    <k n="Cambio" t="i"/>
    <k n="Máximo" t="i"/>
    <k n="Mínimo" t="i"/>
    <k n="Nombre" t="i"/>
    <k n="Precio" t="i"/>
    <k n="Volumen" t="i"/>
    <k n="Apertura" t="i"/>
    <k n="Cambio (%)" t="i"/>
    <k n="Cierre anterior" t="i"/>
    <k n="Volumen promedio" t="i"/>
    <k n="`%EntityServiceId" t="i"/>
    <k n="`Índice de gastos" t="i"/>
    <k n="Máximo en 52 semanas" t="i"/>
    <k n="Mínimo en 52 semanas" t="i"/>
    <k n="Cambio (horario ampliado)" t="i"/>
    <k n="Capitalización de mercado" t="i"/>
    <k n="Precio (horario ampliado)" t="i"/>
    <k n="Cambio % (horario ampliado)" t="i"/>
    <k n="Hora de la última operación" t="i"/>
  </s>
  <s>
    <k n="Cambio" t="s"/>
    <k n="Precio" t="s"/>
    <k n="Cambio (%)" t="s"/>
    <k n="Intercambio" t="s"/>
    <k n="Cambio (horario ampliado)" t="s"/>
    <k n="Precio (horario ampliado)" t="s"/>
    <k n="Cambio % (horario ampliado)" t="s"/>
    <k n="Hora de la última operación"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7">
    <x:dxf>
      <x:numFmt numFmtId="2" formatCode="0.00"/>
    </x:dxf>
    <x:dxf>
      <x:numFmt numFmtId="0" formatCode="General"/>
    </x:dxf>
    <x:dxf>
      <x:numFmt numFmtId="27" formatCode="m/d/yy\ h:mm"/>
    </x:dxf>
    <x:dxf>
      <x:numFmt numFmtId="14" formatCode="0.00%"/>
    </x:dxf>
    <x:dxf>
      <x:numFmt numFmtId="3" formatCode="#,##0"/>
    </x:dxf>
    <x:dxf>
      <x:numFmt numFmtId="4" formatCode="#,##0.00"/>
    </x:dxf>
    <x:dxf>
      <x:numFmt numFmtId="1" formatCode="0"/>
    </x:dxf>
  </dxfs>
  <richProperties>
    <rPr n="NumberFormat" t="s"/>
    <rPr n="IsTitleField" t="b"/>
    <rPr n="IsHeroField" t="b"/>
  </richProperties>
  <richStyles>
    <rSty dxfid="5">
      <rpv i="0">#,##0.00</rpv>
    </rSty>
    <rSty dxfid="1">
      <rpv i="0">_-[$$-es-US]* #,##0.00_-;-[$$-es-US]* #,##0.00_-;_-[$$-es-US]* "-"??_-;_-@_-</rpv>
    </rSty>
    <rSty>
      <rpv i="1">1</rpv>
    </rSty>
    <rSty dxfid="4">
      <rpv i="0">#,##0</rpv>
    </rSty>
    <rSty dxfid="3"/>
    <rSty dxfid="0">
      <rpv i="0">0.00</rpv>
    </rSty>
    <rSty dxfid="6">
      <rpv i="0">0</rpv>
    </rSty>
    <rSty dxfid="1">
      <rpv i="0">_-[$$-es-US]* #,##0_-;-[$$-es-US]* #,##0_-;_-[$$-es-US]* "-"_-;_-@_-</rpv>
    </rSty>
    <rSty dxfid="2"/>
    <rSty>
      <rpv i="2">1</rpv>
    </rSty>
  </richStyles>
</richStyleShee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2D59102-D0FC-5946-9DD5-2F807B3E35BC}" name="Transactions" displayName="Transactions" ref="A1:H11" totalsRowShown="0">
  <autoFilter ref="A1:H11" xr:uid="{F2D59102-D0FC-5946-9DD5-2F807B3E35BC}"/>
  <tableColumns count="8">
    <tableColumn id="1" xr3:uid="{184BAA43-D7AD-7648-B60E-E132ADFC790A}" name="Date"/>
    <tableColumn id="2" xr3:uid="{631A6978-9359-9148-8059-DEB914E273B4}" name="Ticker"/>
    <tableColumn id="9" xr3:uid="{E41BA8A2-2496-6349-9D20-BAE5D1D4E54C}" name="Sector" dataDxfId="9">
      <calculatedColumnFormula>_xlfn.XLOOKUP(Transactions[[#This Row],[Ticker]], Asset_Info!$A$2:$A$100, Asset_Info!$D$2:$D$100)</calculatedColumnFormula>
    </tableColumn>
    <tableColumn id="3" xr3:uid="{D91C2AB6-242F-6846-B70A-CC7B6104BE1F}" name="Action"/>
    <tableColumn id="4" xr3:uid="{D1A80767-AACC-DC49-9E4D-75D9935D8AC1}" name="Shares"/>
    <tableColumn id="5" xr3:uid="{5D53C0A1-5870-0E4B-AF97-38E5C81D62BE}" name="Price"/>
    <tableColumn id="6" xr3:uid="{036E58E3-BDF9-0E4C-9773-C25550D6BB1B}" name="Fees"/>
    <tableColumn id="7" xr3:uid="{59E7AE63-770A-DE4B-90A1-321C5D0C0B51}" name="Total" dataDxfId="8">
      <calculatedColumnFormula>IF(Transactions[[#This Row],[Action]]="Buy",Transactions[[#This Row],[Shares]]*Transactions[[#This Row],[Price]]+Transactions[[#This Row],[Fees]],-(Transactions[[#This Row],[Shares]]*Transactions[[#This Row],[Price]]-Transactions[[#This Row],[Fees]]))</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202671-6ABB-9E40-9E6E-629E0F924686}">
  <dimension ref="A1:H11"/>
  <sheetViews>
    <sheetView workbookViewId="0">
      <selection activeCell="E25" sqref="E25"/>
    </sheetView>
  </sheetViews>
  <sheetFormatPr baseColWidth="10" defaultRowHeight="16" x14ac:dyDescent="0.2"/>
  <cols>
    <col min="2" max="2" width="38.5" customWidth="1"/>
    <col min="3" max="3" width="13.1640625" customWidth="1"/>
  </cols>
  <sheetData>
    <row r="1" spans="1:8" x14ac:dyDescent="0.2">
      <c r="A1" t="s">
        <v>0</v>
      </c>
      <c r="B1" t="s">
        <v>1</v>
      </c>
      <c r="C1" t="s">
        <v>13</v>
      </c>
      <c r="D1" t="s">
        <v>2</v>
      </c>
      <c r="E1" t="s">
        <v>3</v>
      </c>
      <c r="F1" t="s">
        <v>4</v>
      </c>
      <c r="G1" t="s">
        <v>5</v>
      </c>
      <c r="H1" t="s">
        <v>6</v>
      </c>
    </row>
    <row r="2" spans="1:8" x14ac:dyDescent="0.2">
      <c r="A2" s="1">
        <v>46027</v>
      </c>
      <c r="B2" t="s">
        <v>7</v>
      </c>
      <c r="C2" t="str">
        <f>_xlfn.XLOOKUP(Transactions[[#This Row],[Ticker]], Asset_Info!$A$2:$A$100, Asset_Info!$D$2:$D$100)</f>
        <v>Technology</v>
      </c>
      <c r="D2" t="s">
        <v>8</v>
      </c>
      <c r="E2">
        <v>5</v>
      </c>
      <c r="F2">
        <v>180</v>
      </c>
      <c r="G2">
        <v>0</v>
      </c>
      <c r="H2">
        <f>IF(Transactions[[#This Row],[Action]]="Buy",Transactions[[#This Row],[Shares]]*Transactions[[#This Row],[Price]]+Transactions[[#This Row],[Fees]],-(Transactions[[#This Row],[Shares]]*Transactions[[#This Row],[Price]]-Transactions[[#This Row],[Fees]]))</f>
        <v>900</v>
      </c>
    </row>
    <row r="3" spans="1:8" x14ac:dyDescent="0.2">
      <c r="A3" s="1">
        <v>46032</v>
      </c>
      <c r="B3" t="s">
        <v>9</v>
      </c>
      <c r="C3" t="str">
        <f>_xlfn.XLOOKUP(Transactions[[#This Row],[Ticker]], Asset_Info!$A$2:$A$100, Asset_Info!$D$2:$D$100)</f>
        <v>Technology</v>
      </c>
      <c r="D3" t="s">
        <v>8</v>
      </c>
      <c r="E3">
        <v>3</v>
      </c>
      <c r="F3">
        <v>300</v>
      </c>
      <c r="G3">
        <v>0</v>
      </c>
      <c r="H3">
        <f>IF(Transactions[[#This Row],[Action]]="Buy",Transactions[[#This Row],[Shares]]*Transactions[[#This Row],[Price]]+Transactions[[#This Row],[Fees]],-(Transactions[[#This Row],[Shares]]*Transactions[[#This Row],[Price]]-Transactions[[#This Row],[Fees]]))</f>
        <v>900</v>
      </c>
    </row>
    <row r="4" spans="1:8" x14ac:dyDescent="0.2">
      <c r="A4" s="1">
        <v>46037</v>
      </c>
      <c r="B4" t="s">
        <v>10</v>
      </c>
      <c r="C4" t="str">
        <f>_xlfn.XLOOKUP(Transactions[[#This Row],[Ticker]], Asset_Info!$A$2:$A$100, Asset_Info!$D$2:$D$100)</f>
        <v>Broad Market</v>
      </c>
      <c r="D4" t="s">
        <v>8</v>
      </c>
      <c r="E4">
        <v>2</v>
      </c>
      <c r="F4">
        <v>500</v>
      </c>
      <c r="G4">
        <v>0</v>
      </c>
      <c r="H4">
        <f>IF(Transactions[[#This Row],[Action]]="Buy",Transactions[[#This Row],[Shares]]*Transactions[[#This Row],[Price]]+Transactions[[#This Row],[Fees]],-(Transactions[[#This Row],[Shares]]*Transactions[[#This Row],[Price]]-Transactions[[#This Row],[Fees]]))</f>
        <v>1000</v>
      </c>
    </row>
    <row r="5" spans="1:8" x14ac:dyDescent="0.2">
      <c r="A5" s="1">
        <v>46054</v>
      </c>
      <c r="B5" t="s">
        <v>7</v>
      </c>
      <c r="C5" t="str">
        <f>_xlfn.XLOOKUP(Transactions[[#This Row],[Ticker]], Asset_Info!$A$2:$A$100, Asset_Info!$D$2:$D$100)</f>
        <v>Technology</v>
      </c>
      <c r="D5" t="s">
        <v>8</v>
      </c>
      <c r="E5">
        <v>2</v>
      </c>
      <c r="F5">
        <v>190</v>
      </c>
      <c r="G5">
        <v>0</v>
      </c>
      <c r="H5">
        <f>IF(Transactions[[#This Row],[Action]]="Buy",Transactions[[#This Row],[Shares]]*Transactions[[#This Row],[Price]]+Transactions[[#This Row],[Fees]],-(Transactions[[#This Row],[Shares]]*Transactions[[#This Row],[Price]]-Transactions[[#This Row],[Fees]]))</f>
        <v>380</v>
      </c>
    </row>
    <row r="6" spans="1:8" x14ac:dyDescent="0.2">
      <c r="A6" s="1">
        <v>46058</v>
      </c>
      <c r="B6" t="s">
        <v>33</v>
      </c>
      <c r="C6" t="str">
        <f>_xlfn.XLOOKUP(Transactions[[#This Row],[Ticker]], Asset_Info!$A$2:$A$100, Asset_Info!$D$2:$D$100)</f>
        <v>Technology</v>
      </c>
      <c r="D6" t="s">
        <v>8</v>
      </c>
      <c r="E6">
        <v>10</v>
      </c>
      <c r="F6">
        <v>50</v>
      </c>
      <c r="G6">
        <v>0</v>
      </c>
      <c r="H6">
        <f>IF(Transactions[[#This Row],[Action]]="Buy",Transactions[[#This Row],[Shares]]*Transactions[[#This Row],[Price]]+Transactions[[#This Row],[Fees]],-(Transactions[[#This Row],[Shares]]*Transactions[[#This Row],[Price]]-Transactions[[#This Row],[Fees]]))</f>
        <v>500</v>
      </c>
    </row>
    <row r="7" spans="1:8" x14ac:dyDescent="0.2">
      <c r="A7" s="1">
        <v>46113</v>
      </c>
      <c r="B7" t="s">
        <v>19</v>
      </c>
      <c r="C7" t="str">
        <f>_xlfn.XLOOKUP(Transactions[[#This Row],[Ticker]], Asset_Info!$A$2:$A$100, Asset_Info!$D$2:$D$100)</f>
        <v>Commodities</v>
      </c>
      <c r="D7" t="s">
        <v>8</v>
      </c>
      <c r="E7">
        <v>3</v>
      </c>
      <c r="F7">
        <v>200</v>
      </c>
      <c r="G7">
        <v>0</v>
      </c>
      <c r="H7">
        <f>IF(Transactions[[#This Row],[Action]]="Buy",Transactions[[#This Row],[Shares]]*Transactions[[#This Row],[Price]]+Transactions[[#This Row],[Fees]],-(Transactions[[#This Row],[Shares]]*Transactions[[#This Row],[Price]]-Transactions[[#This Row],[Fees]]))</f>
        <v>600</v>
      </c>
    </row>
    <row r="8" spans="1:8" x14ac:dyDescent="0.2">
      <c r="A8" s="1">
        <v>46117</v>
      </c>
      <c r="B8" t="s">
        <v>33</v>
      </c>
      <c r="C8" t="str">
        <f>_xlfn.XLOOKUP(Transactions[[#This Row],[Ticker]], Asset_Info!$A$2:$A$100, Asset_Info!$D$2:$D$100)</f>
        <v>Technology</v>
      </c>
      <c r="D8" t="s">
        <v>34</v>
      </c>
      <c r="E8">
        <v>4</v>
      </c>
      <c r="F8">
        <v>60</v>
      </c>
      <c r="G8">
        <v>0</v>
      </c>
      <c r="H8">
        <f>IF(Transactions[[#This Row],[Action]]="Buy",Transactions[[#This Row],[Shares]]*Transactions[[#This Row],[Price]]+Transactions[[#This Row],[Fees]],-(Transactions[[#This Row],[Shares]]*Transactions[[#This Row],[Price]]-Transactions[[#This Row],[Fees]]))</f>
        <v>-240</v>
      </c>
    </row>
    <row r="9" spans="1:8" x14ac:dyDescent="0.2">
      <c r="A9" s="1">
        <v>46143</v>
      </c>
      <c r="B9" t="s">
        <v>35</v>
      </c>
      <c r="C9" t="str">
        <f>_xlfn.XLOOKUP(Transactions[[#This Row],[Ticker]], Asset_Info!$A$2:$A$100, Asset_Info!$D$2:$D$100)</f>
        <v>Finance</v>
      </c>
      <c r="D9" t="s">
        <v>8</v>
      </c>
      <c r="E9">
        <v>20</v>
      </c>
      <c r="F9">
        <v>480</v>
      </c>
      <c r="G9">
        <v>0</v>
      </c>
      <c r="H9">
        <f>IF(Transactions[[#This Row],[Action]]="Buy",Transactions[[#This Row],[Shares]]*Transactions[[#This Row],[Price]]+Transactions[[#This Row],[Fees]],-(Transactions[[#This Row],[Shares]]*Transactions[[#This Row],[Price]]-Transactions[[#This Row],[Fees]]))</f>
        <v>9600</v>
      </c>
    </row>
    <row r="10" spans="1:8" x14ac:dyDescent="0.2">
      <c r="A10" s="1">
        <v>46116</v>
      </c>
      <c r="B10" t="s">
        <v>48</v>
      </c>
      <c r="C10" t="str">
        <f>_xlfn.XLOOKUP(Transactions[[#This Row],[Ticker]], Asset_Info!$A$2:$A$100, Asset_Info!$D$2:$D$100)</f>
        <v>Retail</v>
      </c>
      <c r="D10" t="s">
        <v>8</v>
      </c>
      <c r="E10">
        <v>50</v>
      </c>
      <c r="F10">
        <v>200</v>
      </c>
      <c r="G10">
        <v>0</v>
      </c>
      <c r="H10">
        <f>IF(Transactions[[#This Row],[Action]]="Buy",Transactions[[#This Row],[Shares]]*Transactions[[#This Row],[Price]]+Transactions[[#This Row],[Fees]],-(Transactions[[#This Row],[Shares]]*Transactions[[#This Row],[Price]]-Transactions[[#This Row],[Fees]]))</f>
        <v>10000</v>
      </c>
    </row>
    <row r="11" spans="1:8" x14ac:dyDescent="0.2">
      <c r="A11" s="1">
        <v>46137</v>
      </c>
      <c r="B11" t="s">
        <v>52</v>
      </c>
      <c r="C11" t="str">
        <f>_xlfn.XLOOKUP(Transactions[[#This Row],[Ticker]], Asset_Info!$A$2:$A$100, Asset_Info!$D$2:$D$100)</f>
        <v>Technology</v>
      </c>
      <c r="D11" t="s">
        <v>8</v>
      </c>
      <c r="E11">
        <v>100</v>
      </c>
      <c r="F11">
        <v>300</v>
      </c>
      <c r="G11">
        <v>0</v>
      </c>
      <c r="H11">
        <f>IF(Transactions[[#This Row],[Action]]="Buy",Transactions[[#This Row],[Shares]]*Transactions[[#This Row],[Price]]+Transactions[[#This Row],[Fees]],-(Transactions[[#This Row],[Shares]]*Transactions[[#This Row],[Price]]-Transactions[[#This Row],[Fees]]))</f>
        <v>30000</v>
      </c>
    </row>
  </sheetData>
  <dataValidations count="1">
    <dataValidation type="list" allowBlank="1" showInputMessage="1" showErrorMessage="1" sqref="D2:D99" xr:uid="{FEB7C663-A822-4A4F-B2A5-CAA71CF45667}">
      <formula1>"Buy,Sell"</formula1>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9E20EB2F-F64B-8E4C-9ED7-A507874B6B14}">
          <x14:formula1>
            <xm:f>Asset_Info!$A$2:$A$100</xm:f>
          </x14:formula1>
          <xm:sqref>B2:B99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C1894F-7EF4-4E45-84B2-E43904FFDB41}">
  <dimension ref="A1:E100"/>
  <sheetViews>
    <sheetView workbookViewId="0">
      <selection activeCell="D17" sqref="D17"/>
    </sheetView>
  </sheetViews>
  <sheetFormatPr baseColWidth="10" defaultRowHeight="16" x14ac:dyDescent="0.2"/>
  <cols>
    <col min="1" max="1" width="10.83203125" style="32" customWidth="1"/>
    <col min="2" max="2" width="25.5" style="32" customWidth="1"/>
    <col min="3" max="3" width="13.6640625" style="32" customWidth="1"/>
    <col min="4" max="4" width="12" style="32" customWidth="1"/>
    <col min="5" max="5" width="10.83203125" style="32" customWidth="1"/>
    <col min="6" max="16384" width="10.83203125" style="32"/>
  </cols>
  <sheetData>
    <row r="1" spans="1:5" s="35" customFormat="1" x14ac:dyDescent="0.2">
      <c r="A1" s="36" t="s">
        <v>1</v>
      </c>
      <c r="B1" s="36" t="s">
        <v>11</v>
      </c>
      <c r="C1" s="36" t="s">
        <v>12</v>
      </c>
      <c r="D1" s="36" t="s">
        <v>13</v>
      </c>
      <c r="E1" s="36" t="s">
        <v>14</v>
      </c>
    </row>
    <row r="2" spans="1:5" x14ac:dyDescent="0.2">
      <c r="A2" s="32" t="s">
        <v>7</v>
      </c>
      <c r="B2" s="32" t="str" cm="1">
        <f t="array" aca="1" ref="B2:B100" ca="1">Stock_Data!C2:C100</f>
        <v>APPLE INC.</v>
      </c>
      <c r="C2" s="32" t="str">
        <f ca="1">IF(A2="","",Stock_Data!F2)</f>
        <v>Acciones</v>
      </c>
      <c r="D2" s="32" t="s">
        <v>16</v>
      </c>
      <c r="E2" s="32" t="s">
        <v>17</v>
      </c>
    </row>
    <row r="3" spans="1:5" x14ac:dyDescent="0.2">
      <c r="A3" s="32" t="s">
        <v>9</v>
      </c>
      <c r="B3" s="32" t="str">
        <f ca="1"/>
        <v>MICROSOFT CORPORATION</v>
      </c>
      <c r="C3" s="32" t="str">
        <f ca="1">IF(A3="","",Stock_Data!F3)</f>
        <v>Acciones</v>
      </c>
      <c r="D3" s="32" t="s">
        <v>16</v>
      </c>
      <c r="E3" s="32" t="s">
        <v>17</v>
      </c>
    </row>
    <row r="4" spans="1:5" x14ac:dyDescent="0.2">
      <c r="A4" s="32" t="s">
        <v>10</v>
      </c>
      <c r="B4" s="32" t="str">
        <f ca="1"/>
        <v>State Street SPDR S&amp;P500</v>
      </c>
      <c r="C4" s="32" t="str">
        <f ca="1">IF(A4="","",Stock_Data!F4)</f>
        <v>ETF</v>
      </c>
      <c r="D4" s="32" t="s">
        <v>18</v>
      </c>
      <c r="E4" s="32" t="s">
        <v>17</v>
      </c>
    </row>
    <row r="5" spans="1:5" x14ac:dyDescent="0.2">
      <c r="A5" s="32" t="s">
        <v>19</v>
      </c>
      <c r="B5" s="32" t="str">
        <f ca="1"/>
        <v>NVIDIA CORPORATION</v>
      </c>
      <c r="C5" s="32" t="str">
        <f ca="1">IF(A5="","",Stock_Data!F5)</f>
        <v>Acciones</v>
      </c>
      <c r="D5" s="32" t="s">
        <v>20</v>
      </c>
      <c r="E5" s="32" t="s">
        <v>21</v>
      </c>
    </row>
    <row r="6" spans="1:5" x14ac:dyDescent="0.2">
      <c r="A6" s="32" t="s">
        <v>33</v>
      </c>
      <c r="B6" s="32" t="str">
        <f ca="1"/>
        <v>SPDR Gold</v>
      </c>
      <c r="C6" s="32" t="str">
        <f ca="1">IF(A6="","",Stock_Data!F6)</f>
        <v>ETF</v>
      </c>
      <c r="D6" s="32" t="s">
        <v>16</v>
      </c>
      <c r="E6" s="32" t="s">
        <v>17</v>
      </c>
    </row>
    <row r="7" spans="1:5" x14ac:dyDescent="0.2">
      <c r="A7" s="32" t="s">
        <v>35</v>
      </c>
      <c r="B7" s="32" t="str">
        <f ca="1"/>
        <v>JPMORGAN CHASE &amp; CO.</v>
      </c>
      <c r="C7" s="32" t="str">
        <f ca="1">IF(A7="","",Stock_Data!F7)</f>
        <v>Acciones</v>
      </c>
      <c r="D7" s="32" t="s">
        <v>36</v>
      </c>
      <c r="E7" s="32" t="s">
        <v>17</v>
      </c>
    </row>
    <row r="8" spans="1:5" x14ac:dyDescent="0.2">
      <c r="A8" s="32" t="s">
        <v>48</v>
      </c>
      <c r="B8" s="32" t="str">
        <f ca="1"/>
        <v>AMAZON.COM, INC.</v>
      </c>
      <c r="C8" s="32" t="str">
        <f ca="1">IF(A8="","",Stock_Data!F8)</f>
        <v>Acciones</v>
      </c>
      <c r="D8" s="32" t="s">
        <v>50</v>
      </c>
      <c r="E8" s="32" t="s">
        <v>17</v>
      </c>
    </row>
    <row r="9" spans="1:5" x14ac:dyDescent="0.2">
      <c r="A9" s="32" t="s">
        <v>52</v>
      </c>
      <c r="B9" s="32" t="str">
        <f ca="1"/>
        <v>ALPHABET INC.</v>
      </c>
      <c r="C9" s="32" t="str">
        <f ca="1">IF(A9="","",Stock_Data!F9)</f>
        <v>Acciones</v>
      </c>
      <c r="D9" s="32" t="s">
        <v>16</v>
      </c>
      <c r="E9" s="32" t="s">
        <v>17</v>
      </c>
    </row>
    <row r="10" spans="1:5" x14ac:dyDescent="0.2">
      <c r="B10" s="32" t="str">
        <f ca="1"/>
        <v/>
      </c>
      <c r="C10" s="32" t="str">
        <f>IF(A10="","",Stock_Data!F10)</f>
        <v/>
      </c>
    </row>
    <row r="11" spans="1:5" x14ac:dyDescent="0.2">
      <c r="B11" s="32" t="str">
        <f ca="1"/>
        <v/>
      </c>
      <c r="C11" s="32" t="str">
        <f>IF(A11="","",Stock_Data!F11)</f>
        <v/>
      </c>
    </row>
    <row r="12" spans="1:5" x14ac:dyDescent="0.2">
      <c r="B12" s="32" t="str">
        <f ca="1"/>
        <v/>
      </c>
      <c r="C12" s="32" t="str">
        <f>IF(A12="","",Stock_Data!F12)</f>
        <v/>
      </c>
    </row>
    <row r="13" spans="1:5" x14ac:dyDescent="0.2">
      <c r="B13" s="32" t="str">
        <f ca="1"/>
        <v/>
      </c>
      <c r="C13" s="32" t="str">
        <f>IF(A13="","",Stock_Data!F13)</f>
        <v/>
      </c>
    </row>
    <row r="14" spans="1:5" x14ac:dyDescent="0.2">
      <c r="B14" s="32" t="str">
        <f ca="1"/>
        <v/>
      </c>
      <c r="C14" s="32" t="str">
        <f>IF(A14="","",Stock_Data!F14)</f>
        <v/>
      </c>
    </row>
    <row r="15" spans="1:5" x14ac:dyDescent="0.2">
      <c r="B15" s="32" t="str">
        <f ca="1"/>
        <v/>
      </c>
      <c r="C15" s="32" t="str">
        <f>IF(A15="","",Stock_Data!F15)</f>
        <v/>
      </c>
    </row>
    <row r="16" spans="1:5" x14ac:dyDescent="0.2">
      <c r="B16" s="32" t="str">
        <f ca="1"/>
        <v/>
      </c>
      <c r="C16" s="32" t="str">
        <f>IF(A16="","",Stock_Data!F16)</f>
        <v/>
      </c>
    </row>
    <row r="17" spans="2:3" x14ac:dyDescent="0.2">
      <c r="B17" s="32" t="str">
        <f ca="1"/>
        <v/>
      </c>
      <c r="C17" s="32" t="str">
        <f>IF(A17="","",Stock_Data!F17)</f>
        <v/>
      </c>
    </row>
    <row r="18" spans="2:3" x14ac:dyDescent="0.2">
      <c r="B18" s="32" t="str">
        <f ca="1"/>
        <v/>
      </c>
      <c r="C18" s="32" t="str">
        <f>IF(A18="","",Stock_Data!F18)</f>
        <v/>
      </c>
    </row>
    <row r="19" spans="2:3" x14ac:dyDescent="0.2">
      <c r="B19" s="32" t="str">
        <f ca="1"/>
        <v/>
      </c>
      <c r="C19" s="32" t="str">
        <f>IF(A19="","",Stock_Data!F19)</f>
        <v/>
      </c>
    </row>
    <row r="20" spans="2:3" x14ac:dyDescent="0.2">
      <c r="B20" s="32" t="str">
        <f ca="1"/>
        <v/>
      </c>
      <c r="C20" s="32" t="str">
        <f>IF(A20="","",Stock_Data!F20)</f>
        <v/>
      </c>
    </row>
    <row r="21" spans="2:3" x14ac:dyDescent="0.2">
      <c r="B21" s="32" t="str">
        <f ca="1"/>
        <v/>
      </c>
      <c r="C21" s="32" t="str">
        <f>IF(A21="","",Stock_Data!F21)</f>
        <v/>
      </c>
    </row>
    <row r="22" spans="2:3" x14ac:dyDescent="0.2">
      <c r="B22" s="32" t="str">
        <f ca="1"/>
        <v/>
      </c>
      <c r="C22" s="32" t="str">
        <f>IF(A22="","",Stock_Data!F22)</f>
        <v/>
      </c>
    </row>
    <row r="23" spans="2:3" x14ac:dyDescent="0.2">
      <c r="B23" s="32" t="str">
        <f ca="1"/>
        <v/>
      </c>
      <c r="C23" s="32" t="str">
        <f>IF(A23="","",Stock_Data!F23)</f>
        <v/>
      </c>
    </row>
    <row r="24" spans="2:3" x14ac:dyDescent="0.2">
      <c r="B24" s="32" t="str">
        <f ca="1"/>
        <v/>
      </c>
      <c r="C24" s="32" t="str">
        <f>IF(A24="","",Stock_Data!F24)</f>
        <v/>
      </c>
    </row>
    <row r="25" spans="2:3" x14ac:dyDescent="0.2">
      <c r="B25" s="32" t="str">
        <f ca="1"/>
        <v/>
      </c>
      <c r="C25" s="32" t="str">
        <f>IF(A25="","",Stock_Data!F25)</f>
        <v/>
      </c>
    </row>
    <row r="26" spans="2:3" x14ac:dyDescent="0.2">
      <c r="B26" s="32" t="str">
        <f ca="1"/>
        <v/>
      </c>
      <c r="C26" s="32" t="str">
        <f>IF(A26="","",Stock_Data!F26)</f>
        <v/>
      </c>
    </row>
    <row r="27" spans="2:3" x14ac:dyDescent="0.2">
      <c r="B27" s="32" t="str">
        <f ca="1"/>
        <v/>
      </c>
      <c r="C27" s="32" t="str">
        <f>IF(A27="","",Stock_Data!F27)</f>
        <v/>
      </c>
    </row>
    <row r="28" spans="2:3" x14ac:dyDescent="0.2">
      <c r="B28" s="32" t="str">
        <f ca="1"/>
        <v/>
      </c>
      <c r="C28" s="32" t="str">
        <f>IF(A28="","",Stock_Data!F28)</f>
        <v/>
      </c>
    </row>
    <row r="29" spans="2:3" x14ac:dyDescent="0.2">
      <c r="B29" s="32" t="str">
        <f ca="1"/>
        <v/>
      </c>
      <c r="C29" s="32" t="str">
        <f>IF(A29="","",Stock_Data!F29)</f>
        <v/>
      </c>
    </row>
    <row r="30" spans="2:3" x14ac:dyDescent="0.2">
      <c r="B30" s="32" t="str">
        <f ca="1"/>
        <v/>
      </c>
      <c r="C30" s="32" t="str">
        <f>IF(A30="","",Stock_Data!F30)</f>
        <v/>
      </c>
    </row>
    <row r="31" spans="2:3" x14ac:dyDescent="0.2">
      <c r="B31" s="32" t="str">
        <f ca="1"/>
        <v/>
      </c>
      <c r="C31" s="32" t="str">
        <f>IF(A31="","",Stock_Data!F31)</f>
        <v/>
      </c>
    </row>
    <row r="32" spans="2:3" x14ac:dyDescent="0.2">
      <c r="B32" s="32" t="str">
        <f ca="1"/>
        <v/>
      </c>
      <c r="C32" s="32" t="str">
        <f>IF(A32="","",Stock_Data!F32)</f>
        <v/>
      </c>
    </row>
    <row r="33" spans="2:3" x14ac:dyDescent="0.2">
      <c r="B33" s="32" t="str">
        <f ca="1"/>
        <v/>
      </c>
      <c r="C33" s="32" t="str">
        <f>IF(A33="","",Stock_Data!F33)</f>
        <v/>
      </c>
    </row>
    <row r="34" spans="2:3" x14ac:dyDescent="0.2">
      <c r="B34" s="32" t="str">
        <f ca="1"/>
        <v/>
      </c>
      <c r="C34" s="32" t="str">
        <f>IF(A34="","",Stock_Data!F34)</f>
        <v/>
      </c>
    </row>
    <row r="35" spans="2:3" x14ac:dyDescent="0.2">
      <c r="B35" s="32" t="str">
        <f ca="1"/>
        <v/>
      </c>
      <c r="C35" s="32" t="str">
        <f>IF(A35="","",Stock_Data!F35)</f>
        <v/>
      </c>
    </row>
    <row r="36" spans="2:3" x14ac:dyDescent="0.2">
      <c r="B36" s="32" t="str">
        <f ca="1"/>
        <v/>
      </c>
      <c r="C36" s="32" t="str">
        <f>IF(A36="","",Stock_Data!F36)</f>
        <v/>
      </c>
    </row>
    <row r="37" spans="2:3" x14ac:dyDescent="0.2">
      <c r="B37" s="32" t="str">
        <f ca="1"/>
        <v/>
      </c>
      <c r="C37" s="32" t="str">
        <f>IF(A37="","",Stock_Data!F37)</f>
        <v/>
      </c>
    </row>
    <row r="38" spans="2:3" x14ac:dyDescent="0.2">
      <c r="B38" s="32" t="str">
        <f ca="1"/>
        <v/>
      </c>
      <c r="C38" s="32" t="str">
        <f>IF(A38="","",Stock_Data!F38)</f>
        <v/>
      </c>
    </row>
    <row r="39" spans="2:3" x14ac:dyDescent="0.2">
      <c r="B39" s="32" t="str">
        <f ca="1"/>
        <v/>
      </c>
      <c r="C39" s="32" t="str">
        <f>IF(A39="","",Stock_Data!F39)</f>
        <v/>
      </c>
    </row>
    <row r="40" spans="2:3" x14ac:dyDescent="0.2">
      <c r="B40" s="32" t="str">
        <f ca="1"/>
        <v/>
      </c>
      <c r="C40" s="32" t="str">
        <f>IF(A40="","",Stock_Data!F40)</f>
        <v/>
      </c>
    </row>
    <row r="41" spans="2:3" x14ac:dyDescent="0.2">
      <c r="B41" s="32" t="str">
        <f ca="1"/>
        <v/>
      </c>
      <c r="C41" s="32" t="str">
        <f>IF(A41="","",Stock_Data!F41)</f>
        <v/>
      </c>
    </row>
    <row r="42" spans="2:3" x14ac:dyDescent="0.2">
      <c r="B42" s="32" t="str">
        <f ca="1"/>
        <v/>
      </c>
      <c r="C42" s="32" t="str">
        <f>IF(A42="","",Stock_Data!F42)</f>
        <v/>
      </c>
    </row>
    <row r="43" spans="2:3" x14ac:dyDescent="0.2">
      <c r="B43" s="32" t="str">
        <f ca="1"/>
        <v/>
      </c>
      <c r="C43" s="32" t="str">
        <f>IF(A43="","",Stock_Data!F43)</f>
        <v/>
      </c>
    </row>
    <row r="44" spans="2:3" x14ac:dyDescent="0.2">
      <c r="B44" s="32" t="str">
        <f ca="1"/>
        <v/>
      </c>
      <c r="C44" s="32" t="str">
        <f>IF(A44="","",Stock_Data!F44)</f>
        <v/>
      </c>
    </row>
    <row r="45" spans="2:3" x14ac:dyDescent="0.2">
      <c r="B45" s="32" t="str">
        <f ca="1"/>
        <v/>
      </c>
      <c r="C45" s="32" t="str">
        <f>IF(A45="","",Stock_Data!F45)</f>
        <v/>
      </c>
    </row>
    <row r="46" spans="2:3" x14ac:dyDescent="0.2">
      <c r="B46" s="32" t="str">
        <f ca="1"/>
        <v/>
      </c>
      <c r="C46" s="32" t="str">
        <f>IF(A46="","",Stock_Data!F46)</f>
        <v/>
      </c>
    </row>
    <row r="47" spans="2:3" x14ac:dyDescent="0.2">
      <c r="B47" s="32" t="str">
        <f ca="1"/>
        <v/>
      </c>
      <c r="C47" s="32" t="str">
        <f>IF(A47="","",Stock_Data!F47)</f>
        <v/>
      </c>
    </row>
    <row r="48" spans="2:3" x14ac:dyDescent="0.2">
      <c r="B48" s="32" t="str">
        <f ca="1"/>
        <v/>
      </c>
      <c r="C48" s="32" t="str">
        <f>IF(A48="","",Stock_Data!F48)</f>
        <v/>
      </c>
    </row>
    <row r="49" spans="2:3" x14ac:dyDescent="0.2">
      <c r="B49" s="32" t="str">
        <f ca="1"/>
        <v/>
      </c>
      <c r="C49" s="32" t="str">
        <f>IF(A49="","",Stock_Data!F49)</f>
        <v/>
      </c>
    </row>
    <row r="50" spans="2:3" x14ac:dyDescent="0.2">
      <c r="B50" s="32" t="str">
        <f ca="1"/>
        <v/>
      </c>
      <c r="C50" s="32" t="str">
        <f>IF(A50="","",Stock_Data!F50)</f>
        <v/>
      </c>
    </row>
    <row r="51" spans="2:3" x14ac:dyDescent="0.2">
      <c r="B51" s="32" t="str">
        <f ca="1"/>
        <v/>
      </c>
      <c r="C51" s="32" t="str">
        <f>IF(A51="","",Stock_Data!F51)</f>
        <v/>
      </c>
    </row>
    <row r="52" spans="2:3" x14ac:dyDescent="0.2">
      <c r="B52" s="32" t="str">
        <f ca="1"/>
        <v/>
      </c>
      <c r="C52" s="32" t="str">
        <f>IF(A52="","",Stock_Data!F52)</f>
        <v/>
      </c>
    </row>
    <row r="53" spans="2:3" x14ac:dyDescent="0.2">
      <c r="B53" s="32" t="str">
        <f ca="1"/>
        <v/>
      </c>
      <c r="C53" s="32" t="str">
        <f>IF(A53="","",Stock_Data!F53)</f>
        <v/>
      </c>
    </row>
    <row r="54" spans="2:3" x14ac:dyDescent="0.2">
      <c r="B54" s="32" t="str">
        <f ca="1"/>
        <v/>
      </c>
      <c r="C54" s="32" t="str">
        <f>IF(A54="","",Stock_Data!F54)</f>
        <v/>
      </c>
    </row>
    <row r="55" spans="2:3" x14ac:dyDescent="0.2">
      <c r="B55" s="32" t="str">
        <f ca="1"/>
        <v/>
      </c>
      <c r="C55" s="32" t="str">
        <f>IF(A55="","",Stock_Data!F55)</f>
        <v/>
      </c>
    </row>
    <row r="56" spans="2:3" x14ac:dyDescent="0.2">
      <c r="B56" s="32" t="str">
        <f ca="1"/>
        <v/>
      </c>
      <c r="C56" s="32" t="str">
        <f>IF(A56="","",Stock_Data!F56)</f>
        <v/>
      </c>
    </row>
    <row r="57" spans="2:3" x14ac:dyDescent="0.2">
      <c r="B57" s="32" t="str">
        <f ca="1"/>
        <v/>
      </c>
      <c r="C57" s="32" t="str">
        <f>IF(A57="","",Stock_Data!F57)</f>
        <v/>
      </c>
    </row>
    <row r="58" spans="2:3" x14ac:dyDescent="0.2">
      <c r="B58" s="32" t="str">
        <f ca="1"/>
        <v/>
      </c>
      <c r="C58" s="32" t="str">
        <f>IF(A58="","",Stock_Data!F58)</f>
        <v/>
      </c>
    </row>
    <row r="59" spans="2:3" x14ac:dyDescent="0.2">
      <c r="B59" s="32" t="str">
        <f ca="1"/>
        <v/>
      </c>
      <c r="C59" s="32" t="str">
        <f>IF(A59="","",Stock_Data!F59)</f>
        <v/>
      </c>
    </row>
    <row r="60" spans="2:3" x14ac:dyDescent="0.2">
      <c r="B60" s="32" t="str">
        <f ca="1"/>
        <v/>
      </c>
      <c r="C60" s="32" t="str">
        <f>IF(A60="","",Stock_Data!F60)</f>
        <v/>
      </c>
    </row>
    <row r="61" spans="2:3" x14ac:dyDescent="0.2">
      <c r="B61" s="32" t="str">
        <f ca="1"/>
        <v/>
      </c>
      <c r="C61" s="32" t="str">
        <f>IF(A61="","",Stock_Data!F61)</f>
        <v/>
      </c>
    </row>
    <row r="62" spans="2:3" x14ac:dyDescent="0.2">
      <c r="B62" s="32" t="str">
        <f ca="1"/>
        <v/>
      </c>
      <c r="C62" s="32" t="str">
        <f>IF(A62="","",Stock_Data!F62)</f>
        <v/>
      </c>
    </row>
    <row r="63" spans="2:3" x14ac:dyDescent="0.2">
      <c r="B63" s="32" t="str">
        <f ca="1"/>
        <v/>
      </c>
      <c r="C63" s="32" t="str">
        <f>IF(A63="","",Stock_Data!F63)</f>
        <v/>
      </c>
    </row>
    <row r="64" spans="2:3" x14ac:dyDescent="0.2">
      <c r="B64" s="32" t="str">
        <f ca="1"/>
        <v/>
      </c>
      <c r="C64" s="32" t="str">
        <f>IF(A64="","",Stock_Data!F64)</f>
        <v/>
      </c>
    </row>
    <row r="65" spans="2:3" x14ac:dyDescent="0.2">
      <c r="B65" s="32" t="str">
        <f ca="1"/>
        <v/>
      </c>
      <c r="C65" s="32" t="str">
        <f>IF(A65="","",Stock_Data!F65)</f>
        <v/>
      </c>
    </row>
    <row r="66" spans="2:3" x14ac:dyDescent="0.2">
      <c r="B66" s="32" t="str">
        <f ca="1"/>
        <v/>
      </c>
      <c r="C66" s="32" t="str">
        <f>IF(A66="","",Stock_Data!F66)</f>
        <v/>
      </c>
    </row>
    <row r="67" spans="2:3" x14ac:dyDescent="0.2">
      <c r="B67" s="32" t="str">
        <f ca="1"/>
        <v/>
      </c>
      <c r="C67" s="32" t="str">
        <f>IF(A67="","",Stock_Data!F67)</f>
        <v/>
      </c>
    </row>
    <row r="68" spans="2:3" x14ac:dyDescent="0.2">
      <c r="B68" s="32" t="str">
        <f ca="1"/>
        <v/>
      </c>
      <c r="C68" s="32" t="str">
        <f>IF(A68="","",Stock_Data!F68)</f>
        <v/>
      </c>
    </row>
    <row r="69" spans="2:3" x14ac:dyDescent="0.2">
      <c r="B69" s="32" t="str">
        <f ca="1"/>
        <v/>
      </c>
      <c r="C69" s="32" t="str">
        <f>IF(A69="","",Stock_Data!F69)</f>
        <v/>
      </c>
    </row>
    <row r="70" spans="2:3" x14ac:dyDescent="0.2">
      <c r="B70" s="32" t="str">
        <f ca="1"/>
        <v/>
      </c>
      <c r="C70" s="32" t="str">
        <f>IF(A70="","",Stock_Data!F70)</f>
        <v/>
      </c>
    </row>
    <row r="71" spans="2:3" x14ac:dyDescent="0.2">
      <c r="B71" s="32" t="str">
        <f ca="1"/>
        <v/>
      </c>
      <c r="C71" s="32" t="str">
        <f>IF(A71="","",Stock_Data!F71)</f>
        <v/>
      </c>
    </row>
    <row r="72" spans="2:3" x14ac:dyDescent="0.2">
      <c r="B72" s="32" t="str">
        <f ca="1"/>
        <v/>
      </c>
      <c r="C72" s="32" t="str">
        <f>IF(A72="","",Stock_Data!F72)</f>
        <v/>
      </c>
    </row>
    <row r="73" spans="2:3" x14ac:dyDescent="0.2">
      <c r="B73" s="32" t="str">
        <f ca="1"/>
        <v/>
      </c>
      <c r="C73" s="32" t="str">
        <f>IF(A73="","",Stock_Data!F73)</f>
        <v/>
      </c>
    </row>
    <row r="74" spans="2:3" x14ac:dyDescent="0.2">
      <c r="B74" s="32" t="str">
        <f ca="1"/>
        <v/>
      </c>
      <c r="C74" s="32" t="str">
        <f>IF(A74="","",Stock_Data!F74)</f>
        <v/>
      </c>
    </row>
    <row r="75" spans="2:3" x14ac:dyDescent="0.2">
      <c r="B75" s="32" t="str">
        <f ca="1"/>
        <v/>
      </c>
      <c r="C75" s="32" t="str">
        <f>IF(A75="","",Stock_Data!F75)</f>
        <v/>
      </c>
    </row>
    <row r="76" spans="2:3" x14ac:dyDescent="0.2">
      <c r="B76" s="32" t="str">
        <f ca="1"/>
        <v/>
      </c>
      <c r="C76" s="32" t="str">
        <f>IF(A76="","",Stock_Data!F76)</f>
        <v/>
      </c>
    </row>
    <row r="77" spans="2:3" x14ac:dyDescent="0.2">
      <c r="B77" s="32" t="str">
        <f ca="1"/>
        <v/>
      </c>
      <c r="C77" s="32" t="str">
        <f>IF(A77="","",Stock_Data!F77)</f>
        <v/>
      </c>
    </row>
    <row r="78" spans="2:3" x14ac:dyDescent="0.2">
      <c r="B78" s="32" t="str">
        <f ca="1"/>
        <v/>
      </c>
      <c r="C78" s="32" t="str">
        <f>IF(A78="","",Stock_Data!F78)</f>
        <v/>
      </c>
    </row>
    <row r="79" spans="2:3" x14ac:dyDescent="0.2">
      <c r="B79" s="32" t="str">
        <f ca="1"/>
        <v/>
      </c>
      <c r="C79" s="32" t="str">
        <f>IF(A79="","",Stock_Data!F79)</f>
        <v/>
      </c>
    </row>
    <row r="80" spans="2:3" x14ac:dyDescent="0.2">
      <c r="B80" s="32" t="str">
        <f ca="1"/>
        <v/>
      </c>
      <c r="C80" s="32" t="str">
        <f>IF(A80="","",Stock_Data!F80)</f>
        <v/>
      </c>
    </row>
    <row r="81" spans="2:3" x14ac:dyDescent="0.2">
      <c r="B81" s="32" t="str">
        <f ca="1"/>
        <v/>
      </c>
      <c r="C81" s="32" t="str">
        <f>IF(A81="","",Stock_Data!F81)</f>
        <v/>
      </c>
    </row>
    <row r="82" spans="2:3" x14ac:dyDescent="0.2">
      <c r="B82" s="32" t="str">
        <f ca="1"/>
        <v/>
      </c>
      <c r="C82" s="32" t="str">
        <f>IF(A82="","",Stock_Data!F82)</f>
        <v/>
      </c>
    </row>
    <row r="83" spans="2:3" x14ac:dyDescent="0.2">
      <c r="B83" s="32" t="str">
        <f ca="1"/>
        <v/>
      </c>
      <c r="C83" s="32" t="str">
        <f>IF(A83="","",Stock_Data!F83)</f>
        <v/>
      </c>
    </row>
    <row r="84" spans="2:3" x14ac:dyDescent="0.2">
      <c r="B84" s="32" t="str">
        <f ca="1"/>
        <v/>
      </c>
      <c r="C84" s="32" t="str">
        <f>IF(A84="","",Stock_Data!F84)</f>
        <v/>
      </c>
    </row>
    <row r="85" spans="2:3" x14ac:dyDescent="0.2">
      <c r="B85" s="32" t="str">
        <f ca="1"/>
        <v/>
      </c>
      <c r="C85" s="32" t="str">
        <f>IF(A85="","",Stock_Data!F85)</f>
        <v/>
      </c>
    </row>
    <row r="86" spans="2:3" x14ac:dyDescent="0.2">
      <c r="B86" s="32" t="str">
        <f ca="1"/>
        <v/>
      </c>
      <c r="C86" s="32" t="str">
        <f>IF(A86="","",Stock_Data!F86)</f>
        <v/>
      </c>
    </row>
    <row r="87" spans="2:3" x14ac:dyDescent="0.2">
      <c r="B87" s="32" t="str">
        <f ca="1"/>
        <v/>
      </c>
      <c r="C87" s="32" t="str">
        <f>IF(A87="","",Stock_Data!F87)</f>
        <v/>
      </c>
    </row>
    <row r="88" spans="2:3" x14ac:dyDescent="0.2">
      <c r="B88" s="32" t="str">
        <f ca="1"/>
        <v/>
      </c>
      <c r="C88" s="32" t="str">
        <f>IF(A88="","",Stock_Data!F88)</f>
        <v/>
      </c>
    </row>
    <row r="89" spans="2:3" x14ac:dyDescent="0.2">
      <c r="B89" s="32" t="str">
        <f ca="1"/>
        <v/>
      </c>
      <c r="C89" s="32" t="str">
        <f>IF(A89="","",Stock_Data!F89)</f>
        <v/>
      </c>
    </row>
    <row r="90" spans="2:3" x14ac:dyDescent="0.2">
      <c r="B90" s="32" t="str">
        <f ca="1"/>
        <v/>
      </c>
      <c r="C90" s="32" t="str">
        <f>IF(A90="","",Stock_Data!F90)</f>
        <v/>
      </c>
    </row>
    <row r="91" spans="2:3" x14ac:dyDescent="0.2">
      <c r="B91" s="32" t="str">
        <f ca="1"/>
        <v/>
      </c>
      <c r="C91" s="32" t="str">
        <f>IF(A91="","",Stock_Data!F91)</f>
        <v/>
      </c>
    </row>
    <row r="92" spans="2:3" x14ac:dyDescent="0.2">
      <c r="B92" s="32" t="str">
        <f ca="1"/>
        <v/>
      </c>
      <c r="C92" s="32" t="str">
        <f>IF(A92="","",Stock_Data!F92)</f>
        <v/>
      </c>
    </row>
    <row r="93" spans="2:3" x14ac:dyDescent="0.2">
      <c r="B93" s="32" t="str">
        <f ca="1"/>
        <v/>
      </c>
      <c r="C93" s="32" t="str">
        <f>IF(A93="","",Stock_Data!F93)</f>
        <v/>
      </c>
    </row>
    <row r="94" spans="2:3" x14ac:dyDescent="0.2">
      <c r="B94" s="32" t="str">
        <f ca="1"/>
        <v/>
      </c>
      <c r="C94" s="32" t="str">
        <f>IF(A94="","",Stock_Data!F94)</f>
        <v/>
      </c>
    </row>
    <row r="95" spans="2:3" x14ac:dyDescent="0.2">
      <c r="B95" s="32" t="str">
        <f ca="1"/>
        <v/>
      </c>
      <c r="C95" s="32" t="str">
        <f>IF(A95="","",Stock_Data!F95)</f>
        <v/>
      </c>
    </row>
    <row r="96" spans="2:3" x14ac:dyDescent="0.2">
      <c r="B96" s="32" t="str">
        <f ca="1"/>
        <v/>
      </c>
      <c r="C96" s="32" t="str">
        <f>IF(A96="","",Stock_Data!F96)</f>
        <v/>
      </c>
    </row>
    <row r="97" spans="2:3" x14ac:dyDescent="0.2">
      <c r="B97" s="32" t="str">
        <f ca="1"/>
        <v/>
      </c>
      <c r="C97" s="32" t="str">
        <f>IF(A97="","",Stock_Data!F97)</f>
        <v/>
      </c>
    </row>
    <row r="98" spans="2:3" x14ac:dyDescent="0.2">
      <c r="B98" s="32" t="str">
        <f ca="1"/>
        <v/>
      </c>
      <c r="C98" s="32" t="str">
        <f>IF(A98="","",Stock_Data!F98)</f>
        <v/>
      </c>
    </row>
    <row r="99" spans="2:3" x14ac:dyDescent="0.2">
      <c r="B99" s="32" t="str">
        <f ca="1"/>
        <v/>
      </c>
      <c r="C99" s="32" t="str">
        <f>IF(A99="","",Stock_Data!F99)</f>
        <v/>
      </c>
    </row>
    <row r="100" spans="2:3" x14ac:dyDescent="0.2">
      <c r="B100" s="32" t="str">
        <f ca="1"/>
        <v/>
      </c>
      <c r="C100" s="32" t="str">
        <f>IF(A100="","",Stock_Data!F100)</f>
        <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3E2AB9-C630-2A47-80CC-5778743E543F}">
  <dimension ref="A1:C100"/>
  <sheetViews>
    <sheetView tabSelected="1" zoomScaleNormal="100" workbookViewId="0">
      <selection activeCell="H25" sqref="H25"/>
    </sheetView>
  </sheetViews>
  <sheetFormatPr baseColWidth="10" defaultRowHeight="16" x14ac:dyDescent="0.2"/>
  <cols>
    <col min="1" max="1" width="38.5" style="32" customWidth="1"/>
    <col min="2" max="2" width="14.5" style="33" customWidth="1"/>
    <col min="3" max="3" width="12.1640625" style="32" customWidth="1"/>
    <col min="4" max="16384" width="10.83203125" style="32"/>
  </cols>
  <sheetData>
    <row r="1" spans="1:3" s="35" customFormat="1" x14ac:dyDescent="0.2">
      <c r="A1" s="36" t="s">
        <v>1</v>
      </c>
      <c r="B1" s="37" t="s">
        <v>22</v>
      </c>
      <c r="C1" s="36" t="s">
        <v>23</v>
      </c>
    </row>
    <row r="2" spans="1:3" x14ac:dyDescent="0.2">
      <c r="A2" s="32" t="str" cm="1">
        <f t="array" ref="A2:A9">_xlfn.UNIQUE(Transactions[Ticker])</f>
        <v>AAPL</v>
      </c>
      <c r="B2" s="33">
        <f ca="1">IF(A2="","",_xlfn.XLOOKUP(A2,Stock_Data!$A:$A,Stock_Data!$D:$D))</f>
        <v>280.14</v>
      </c>
      <c r="C2" s="34">
        <f ca="1">IF(A2="","",_xlfn.XLOOKUP(A2,Stock_Data!$A:$A,Stock_Data!$E:$E))</f>
        <v>46145</v>
      </c>
    </row>
    <row r="3" spans="1:3" x14ac:dyDescent="0.2">
      <c r="A3" s="32" t="str">
        <v>MSFT</v>
      </c>
      <c r="B3" s="33">
        <f ca="1">IF(A3="","",_xlfn.XLOOKUP(A3,Stock_Data!$A:$A,Stock_Data!$D:$D))</f>
        <v>414.44</v>
      </c>
      <c r="C3" s="34">
        <f ca="1">IF(A3="","",_xlfn.XLOOKUP(A3,Stock_Data!$A:$A,Stock_Data!$E:$E))</f>
        <v>46145</v>
      </c>
    </row>
    <row r="4" spans="1:3" x14ac:dyDescent="0.2">
      <c r="A4" s="32" t="str">
        <v>SPY</v>
      </c>
      <c r="B4" s="33">
        <f ca="1">IF(A4="","",_xlfn.XLOOKUP(A4,Stock_Data!$A:$A,Stock_Data!$D:$D))</f>
        <v>720.65</v>
      </c>
      <c r="C4" s="34">
        <f ca="1">IF(A4="","",_xlfn.XLOOKUP(A4,Stock_Data!$A:$A,Stock_Data!$E:$E))</f>
        <v>46145</v>
      </c>
    </row>
    <row r="5" spans="1:3" x14ac:dyDescent="0.2">
      <c r="A5" s="32" t="str">
        <v>NVDA</v>
      </c>
      <c r="B5" s="33">
        <f ca="1">IF(A5="","",_xlfn.XLOOKUP(A5,Stock_Data!$A:$A,Stock_Data!$D:$D))</f>
        <v>198.45</v>
      </c>
      <c r="C5" s="34">
        <f ca="1">IF(A5="","",_xlfn.XLOOKUP(A5,Stock_Data!$A:$A,Stock_Data!$E:$E))</f>
        <v>46145</v>
      </c>
    </row>
    <row r="6" spans="1:3" x14ac:dyDescent="0.2">
      <c r="A6" s="32" t="str">
        <v>GLD</v>
      </c>
      <c r="B6" s="33">
        <f ca="1">IF(A6="","",_xlfn.XLOOKUP(A6,Stock_Data!$A:$A,Stock_Data!$D:$D))</f>
        <v>423.18</v>
      </c>
      <c r="C6" s="34">
        <f ca="1">IF(A6="","",_xlfn.XLOOKUP(A6,Stock_Data!$A:$A,Stock_Data!$E:$E))</f>
        <v>46145</v>
      </c>
    </row>
    <row r="7" spans="1:3" x14ac:dyDescent="0.2">
      <c r="A7" s="32" t="str">
        <v>JPM</v>
      </c>
      <c r="B7" s="33">
        <f ca="1">IF(A7="","",_xlfn.XLOOKUP(A7,Stock_Data!$A:$A,Stock_Data!$D:$D))</f>
        <v>312.47000000000003</v>
      </c>
      <c r="C7" s="34">
        <f ca="1">IF(A7="","",_xlfn.XLOOKUP(A7,Stock_Data!$A:$A,Stock_Data!$E:$E))</f>
        <v>46145</v>
      </c>
    </row>
    <row r="8" spans="1:3" x14ac:dyDescent="0.2">
      <c r="A8" s="32" t="str">
        <v>AMZN</v>
      </c>
      <c r="B8" s="33">
        <f ca="1">IF(A8="","",_xlfn.XLOOKUP(A8,Stock_Data!$A:$A,Stock_Data!$D:$D))</f>
        <v>268.26</v>
      </c>
      <c r="C8" s="34">
        <f ca="1">IF(A8="","",_xlfn.XLOOKUP(A8,Stock_Data!$A:$A,Stock_Data!$E:$E))</f>
        <v>46145</v>
      </c>
    </row>
    <row r="9" spans="1:3" x14ac:dyDescent="0.2">
      <c r="A9" s="32" t="str">
        <v>GOOGL</v>
      </c>
      <c r="B9" s="33">
        <f ca="1">IF(A9="","",_xlfn.XLOOKUP(A9,Stock_Data!$A:$A,Stock_Data!$D:$D))</f>
        <v>385.69</v>
      </c>
      <c r="C9" s="34">
        <f ca="1">IF(A9="","",_xlfn.XLOOKUP(A9,Stock_Data!$A:$A,Stock_Data!$E:$E))</f>
        <v>46145</v>
      </c>
    </row>
    <row r="10" spans="1:3" x14ac:dyDescent="0.2">
      <c r="B10" s="33" t="str">
        <f>IF(A10="","",_xlfn.XLOOKUP(A10,Stock_Data!$A:$A,Stock_Data!$D:$D))</f>
        <v/>
      </c>
      <c r="C10" s="34" t="str">
        <f>IF(A10="","",_xlfn.XLOOKUP(A10,Stock_Data!$A:$A,Stock_Data!$E:$E))</f>
        <v/>
      </c>
    </row>
    <row r="11" spans="1:3" x14ac:dyDescent="0.2">
      <c r="B11" s="33" t="str">
        <f>IF(A11="","",_xlfn.XLOOKUP(A11,Stock_Data!$A:$A,Stock_Data!$D:$D))</f>
        <v/>
      </c>
      <c r="C11" s="34" t="str">
        <f>IF(A11="","",_xlfn.XLOOKUP(A11,Stock_Data!$A:$A,Stock_Data!$E:$E))</f>
        <v/>
      </c>
    </row>
    <row r="12" spans="1:3" x14ac:dyDescent="0.2">
      <c r="B12" s="33" t="str">
        <f>IF(A12="","",_xlfn.XLOOKUP(A12,Stock_Data!$A:$A,Stock_Data!$D:$D))</f>
        <v/>
      </c>
      <c r="C12" s="34" t="str">
        <f>IF(A12="","",_xlfn.XLOOKUP(A12,Stock_Data!$A:$A,Stock_Data!$E:$E))</f>
        <v/>
      </c>
    </row>
    <row r="13" spans="1:3" x14ac:dyDescent="0.2">
      <c r="B13" s="33" t="str">
        <f>IF(A13="","",_xlfn.XLOOKUP(A13,Stock_Data!$A:$A,Stock_Data!$D:$D))</f>
        <v/>
      </c>
      <c r="C13" s="34" t="str">
        <f>IF(A13="","",_xlfn.XLOOKUP(A13,Stock_Data!$A:$A,Stock_Data!$E:$E))</f>
        <v/>
      </c>
    </row>
    <row r="14" spans="1:3" x14ac:dyDescent="0.2">
      <c r="B14" s="33" t="str">
        <f>IF(A14="","",_xlfn.XLOOKUP(A14,Stock_Data!$A:$A,Stock_Data!$D:$D))</f>
        <v/>
      </c>
      <c r="C14" s="34" t="str">
        <f>IF(A14="","",_xlfn.XLOOKUP(A14,Stock_Data!$A:$A,Stock_Data!$E:$E))</f>
        <v/>
      </c>
    </row>
    <row r="15" spans="1:3" x14ac:dyDescent="0.2">
      <c r="B15" s="33" t="str">
        <f>IF(A15="","",_xlfn.XLOOKUP(A15,Stock_Data!$A:$A,Stock_Data!$D:$D))</f>
        <v/>
      </c>
      <c r="C15" s="34" t="str">
        <f>IF(A15="","",_xlfn.XLOOKUP(A15,Stock_Data!$A:$A,Stock_Data!$E:$E))</f>
        <v/>
      </c>
    </row>
    <row r="16" spans="1:3" x14ac:dyDescent="0.2">
      <c r="B16" s="33" t="str">
        <f>IF(A16="","",_xlfn.XLOOKUP(A16,Stock_Data!$A:$A,Stock_Data!$D:$D))</f>
        <v/>
      </c>
      <c r="C16" s="34" t="str">
        <f>IF(A16="","",_xlfn.XLOOKUP(A16,Stock_Data!$A:$A,Stock_Data!$E:$E))</f>
        <v/>
      </c>
    </row>
    <row r="17" spans="2:3" x14ac:dyDescent="0.2">
      <c r="B17" s="33" t="str">
        <f>IF(A17="","",_xlfn.XLOOKUP(A17,Stock_Data!$A:$A,Stock_Data!$D:$D))</f>
        <v/>
      </c>
      <c r="C17" s="34" t="str">
        <f>IF(A17="","",_xlfn.XLOOKUP(A17,Stock_Data!$A:$A,Stock_Data!$E:$E))</f>
        <v/>
      </c>
    </row>
    <row r="18" spans="2:3" x14ac:dyDescent="0.2">
      <c r="B18" s="33" t="str">
        <f>IF(A18="","",_xlfn.XLOOKUP(A18,Stock_Data!$A:$A,Stock_Data!$D:$D))</f>
        <v/>
      </c>
      <c r="C18" s="34" t="str">
        <f>IF(A18="","",_xlfn.XLOOKUP(A18,Stock_Data!$A:$A,Stock_Data!$E:$E))</f>
        <v/>
      </c>
    </row>
    <row r="19" spans="2:3" x14ac:dyDescent="0.2">
      <c r="B19" s="33" t="str">
        <f>IF(A19="","",_xlfn.XLOOKUP(A19,Stock_Data!$A:$A,Stock_Data!$D:$D))</f>
        <v/>
      </c>
      <c r="C19" s="34" t="str">
        <f>IF(A19="","",_xlfn.XLOOKUP(A19,Stock_Data!$A:$A,Stock_Data!$E:$E))</f>
        <v/>
      </c>
    </row>
    <row r="20" spans="2:3" x14ac:dyDescent="0.2">
      <c r="B20" s="33" t="str">
        <f>IF(A20="","",_xlfn.XLOOKUP(A20,Stock_Data!$A:$A,Stock_Data!$D:$D))</f>
        <v/>
      </c>
      <c r="C20" s="34" t="str">
        <f>IF(A20="","",_xlfn.XLOOKUP(A20,Stock_Data!$A:$A,Stock_Data!$E:$E))</f>
        <v/>
      </c>
    </row>
    <row r="21" spans="2:3" x14ac:dyDescent="0.2">
      <c r="B21" s="33" t="str">
        <f>IF(A21="","",_xlfn.XLOOKUP(A21,Stock_Data!$A:$A,Stock_Data!$D:$D))</f>
        <v/>
      </c>
      <c r="C21" s="34" t="str">
        <f>IF(A21="","",_xlfn.XLOOKUP(A21,Stock_Data!$A:$A,Stock_Data!$E:$E))</f>
        <v/>
      </c>
    </row>
    <row r="22" spans="2:3" x14ac:dyDescent="0.2">
      <c r="B22" s="33" t="str">
        <f>IF(A22="","",_xlfn.XLOOKUP(A22,Stock_Data!$A:$A,Stock_Data!$D:$D))</f>
        <v/>
      </c>
      <c r="C22" s="34" t="str">
        <f>IF(A22="","",_xlfn.XLOOKUP(A22,Stock_Data!$A:$A,Stock_Data!$E:$E))</f>
        <v/>
      </c>
    </row>
    <row r="23" spans="2:3" x14ac:dyDescent="0.2">
      <c r="B23" s="33" t="str">
        <f>IF(A23="","",_xlfn.XLOOKUP(A23,Stock_Data!$A:$A,Stock_Data!$D:$D))</f>
        <v/>
      </c>
      <c r="C23" s="34" t="str">
        <f>IF(A23="","",_xlfn.XLOOKUP(A23,Stock_Data!$A:$A,Stock_Data!$E:$E))</f>
        <v/>
      </c>
    </row>
    <row r="24" spans="2:3" x14ac:dyDescent="0.2">
      <c r="B24" s="33" t="str">
        <f>IF(A24="","",_xlfn.XLOOKUP(A24,Stock_Data!$A:$A,Stock_Data!$D:$D))</f>
        <v/>
      </c>
      <c r="C24" s="34" t="str">
        <f>IF(A24="","",_xlfn.XLOOKUP(A24,Stock_Data!$A:$A,Stock_Data!$E:$E))</f>
        <v/>
      </c>
    </row>
    <row r="25" spans="2:3" x14ac:dyDescent="0.2">
      <c r="B25" s="33" t="str">
        <f>IF(A25="","",_xlfn.XLOOKUP(A25,Stock_Data!$A:$A,Stock_Data!$D:$D))</f>
        <v/>
      </c>
      <c r="C25" s="34" t="str">
        <f>IF(A25="","",_xlfn.XLOOKUP(A25,Stock_Data!$A:$A,Stock_Data!$E:$E))</f>
        <v/>
      </c>
    </row>
    <row r="26" spans="2:3" x14ac:dyDescent="0.2">
      <c r="B26" s="33" t="str">
        <f>IF(A26="","",_xlfn.XLOOKUP(A26,Stock_Data!$A:$A,Stock_Data!$D:$D))</f>
        <v/>
      </c>
      <c r="C26" s="34" t="str">
        <f>IF(A26="","",_xlfn.XLOOKUP(A26,Stock_Data!$A:$A,Stock_Data!$E:$E))</f>
        <v/>
      </c>
    </row>
    <row r="27" spans="2:3" x14ac:dyDescent="0.2">
      <c r="B27" s="33" t="str">
        <f>IF(A27="","",_xlfn.XLOOKUP(A27,Stock_Data!$A:$A,Stock_Data!$D:$D))</f>
        <v/>
      </c>
      <c r="C27" s="34" t="str">
        <f>IF(A27="","",_xlfn.XLOOKUP(A27,Stock_Data!$A:$A,Stock_Data!$E:$E))</f>
        <v/>
      </c>
    </row>
    <row r="28" spans="2:3" x14ac:dyDescent="0.2">
      <c r="B28" s="33" t="str">
        <f>IF(A28="","",_xlfn.XLOOKUP(A28,Stock_Data!$A:$A,Stock_Data!$D:$D))</f>
        <v/>
      </c>
      <c r="C28" s="34" t="str">
        <f>IF(A28="","",_xlfn.XLOOKUP(A28,Stock_Data!$A:$A,Stock_Data!$E:$E))</f>
        <v/>
      </c>
    </row>
    <row r="29" spans="2:3" x14ac:dyDescent="0.2">
      <c r="B29" s="33" t="str">
        <f>IF(A29="","",_xlfn.XLOOKUP(A29,Stock_Data!$A:$A,Stock_Data!$D:$D))</f>
        <v/>
      </c>
      <c r="C29" s="34" t="str">
        <f>IF(A29="","",_xlfn.XLOOKUP(A29,Stock_Data!$A:$A,Stock_Data!$E:$E))</f>
        <v/>
      </c>
    </row>
    <row r="30" spans="2:3" x14ac:dyDescent="0.2">
      <c r="B30" s="33" t="str">
        <f>IF(A30="","",_xlfn.XLOOKUP(A30,Stock_Data!$A:$A,Stock_Data!$D:$D))</f>
        <v/>
      </c>
      <c r="C30" s="34" t="str">
        <f>IF(A30="","",_xlfn.XLOOKUP(A30,Stock_Data!$A:$A,Stock_Data!$E:$E))</f>
        <v/>
      </c>
    </row>
    <row r="31" spans="2:3" x14ac:dyDescent="0.2">
      <c r="B31" s="33" t="str">
        <f>IF(A31="","",_xlfn.XLOOKUP(A31,Stock_Data!$A:$A,Stock_Data!$D:$D))</f>
        <v/>
      </c>
      <c r="C31" s="34" t="str">
        <f>IF(A31="","",_xlfn.XLOOKUP(A31,Stock_Data!$A:$A,Stock_Data!$E:$E))</f>
        <v/>
      </c>
    </row>
    <row r="32" spans="2:3" x14ac:dyDescent="0.2">
      <c r="B32" s="33" t="str">
        <f>IF(A32="","",_xlfn.XLOOKUP(A32,Stock_Data!$A:$A,Stock_Data!$D:$D))</f>
        <v/>
      </c>
      <c r="C32" s="34" t="str">
        <f>IF(A32="","",_xlfn.XLOOKUP(A32,Stock_Data!$A:$A,Stock_Data!$E:$E))</f>
        <v/>
      </c>
    </row>
    <row r="33" spans="2:3" x14ac:dyDescent="0.2">
      <c r="B33" s="33" t="str">
        <f>IF(A33="","",_xlfn.XLOOKUP(A33,Stock_Data!$A:$A,Stock_Data!$D:$D))</f>
        <v/>
      </c>
      <c r="C33" s="34" t="str">
        <f>IF(A33="","",_xlfn.XLOOKUP(A33,Stock_Data!$A:$A,Stock_Data!$E:$E))</f>
        <v/>
      </c>
    </row>
    <row r="34" spans="2:3" x14ac:dyDescent="0.2">
      <c r="B34" s="33" t="str">
        <f>IF(A34="","",_xlfn.XLOOKUP(A34,Stock_Data!$A:$A,Stock_Data!$D:$D))</f>
        <v/>
      </c>
      <c r="C34" s="34" t="str">
        <f>IF(A34="","",_xlfn.XLOOKUP(A34,Stock_Data!$A:$A,Stock_Data!$E:$E))</f>
        <v/>
      </c>
    </row>
    <row r="35" spans="2:3" x14ac:dyDescent="0.2">
      <c r="B35" s="33" t="str">
        <f>IF(A35="","",_xlfn.XLOOKUP(A35,Stock_Data!$A:$A,Stock_Data!$D:$D))</f>
        <v/>
      </c>
      <c r="C35" s="34" t="str">
        <f>IF(A35="","",_xlfn.XLOOKUP(A35,Stock_Data!$A:$A,Stock_Data!$E:$E))</f>
        <v/>
      </c>
    </row>
    <row r="36" spans="2:3" x14ac:dyDescent="0.2">
      <c r="B36" s="33" t="str">
        <f>IF(A36="","",_xlfn.XLOOKUP(A36,Stock_Data!$A:$A,Stock_Data!$D:$D))</f>
        <v/>
      </c>
      <c r="C36" s="34" t="str">
        <f>IF(A36="","",_xlfn.XLOOKUP(A36,Stock_Data!$A:$A,Stock_Data!$E:$E))</f>
        <v/>
      </c>
    </row>
    <row r="37" spans="2:3" x14ac:dyDescent="0.2">
      <c r="B37" s="33" t="str">
        <f>IF(A37="","",_xlfn.XLOOKUP(A37,Stock_Data!$A:$A,Stock_Data!$D:$D))</f>
        <v/>
      </c>
      <c r="C37" s="34" t="str">
        <f>IF(A37="","",_xlfn.XLOOKUP(A37,Stock_Data!$A:$A,Stock_Data!$E:$E))</f>
        <v/>
      </c>
    </row>
    <row r="38" spans="2:3" x14ac:dyDescent="0.2">
      <c r="B38" s="33" t="str">
        <f>IF(A38="","",_xlfn.XLOOKUP(A38,Stock_Data!$A:$A,Stock_Data!$D:$D))</f>
        <v/>
      </c>
      <c r="C38" s="34" t="str">
        <f>IF(A38="","",_xlfn.XLOOKUP(A38,Stock_Data!$A:$A,Stock_Data!$E:$E))</f>
        <v/>
      </c>
    </row>
    <row r="39" spans="2:3" x14ac:dyDescent="0.2">
      <c r="B39" s="33" t="str">
        <f>IF(A39="","",_xlfn.XLOOKUP(A39,Stock_Data!$A:$A,Stock_Data!$D:$D))</f>
        <v/>
      </c>
      <c r="C39" s="34" t="str">
        <f>IF(A39="","",_xlfn.XLOOKUP(A39,Stock_Data!$A:$A,Stock_Data!$E:$E))</f>
        <v/>
      </c>
    </row>
    <row r="40" spans="2:3" x14ac:dyDescent="0.2">
      <c r="B40" s="33" t="str">
        <f>IF(A40="","",_xlfn.XLOOKUP(A40,Stock_Data!$A:$A,Stock_Data!$D:$D))</f>
        <v/>
      </c>
      <c r="C40" s="34" t="str">
        <f>IF(A40="","",_xlfn.XLOOKUP(A40,Stock_Data!$A:$A,Stock_Data!$E:$E))</f>
        <v/>
      </c>
    </row>
    <row r="41" spans="2:3" x14ac:dyDescent="0.2">
      <c r="B41" s="33" t="str">
        <f>IF(A41="","",_xlfn.XLOOKUP(A41,Stock_Data!$A:$A,Stock_Data!$D:$D))</f>
        <v/>
      </c>
      <c r="C41" s="34" t="str">
        <f>IF(A41="","",_xlfn.XLOOKUP(A41,Stock_Data!$A:$A,Stock_Data!$E:$E))</f>
        <v/>
      </c>
    </row>
    <row r="42" spans="2:3" x14ac:dyDescent="0.2">
      <c r="B42" s="33" t="str">
        <f>IF(A42="","",_xlfn.XLOOKUP(A42,Stock_Data!$A:$A,Stock_Data!$D:$D))</f>
        <v/>
      </c>
      <c r="C42" s="34" t="str">
        <f>IF(A42="","",_xlfn.XLOOKUP(A42,Stock_Data!$A:$A,Stock_Data!$E:$E))</f>
        <v/>
      </c>
    </row>
    <row r="43" spans="2:3" x14ac:dyDescent="0.2">
      <c r="B43" s="33" t="str">
        <f>IF(A43="","",_xlfn.XLOOKUP(A43,Stock_Data!$A:$A,Stock_Data!$D:$D))</f>
        <v/>
      </c>
      <c r="C43" s="34" t="str">
        <f>IF(A43="","",_xlfn.XLOOKUP(A43,Stock_Data!$A:$A,Stock_Data!$E:$E))</f>
        <v/>
      </c>
    </row>
    <row r="44" spans="2:3" x14ac:dyDescent="0.2">
      <c r="B44" s="33" t="str">
        <f>IF(A44="","",_xlfn.XLOOKUP(A44,Stock_Data!$A:$A,Stock_Data!$D:$D))</f>
        <v/>
      </c>
      <c r="C44" s="34" t="str">
        <f>IF(A44="","",_xlfn.XLOOKUP(A44,Stock_Data!$A:$A,Stock_Data!$E:$E))</f>
        <v/>
      </c>
    </row>
    <row r="45" spans="2:3" x14ac:dyDescent="0.2">
      <c r="B45" s="33" t="str">
        <f>IF(A45="","",_xlfn.XLOOKUP(A45,Stock_Data!$A:$A,Stock_Data!$D:$D))</f>
        <v/>
      </c>
      <c r="C45" s="34" t="str">
        <f>IF(A45="","",_xlfn.XLOOKUP(A45,Stock_Data!$A:$A,Stock_Data!$E:$E))</f>
        <v/>
      </c>
    </row>
    <row r="46" spans="2:3" x14ac:dyDescent="0.2">
      <c r="B46" s="33" t="str">
        <f>IF(A46="","",_xlfn.XLOOKUP(A46,Stock_Data!$A:$A,Stock_Data!$D:$D))</f>
        <v/>
      </c>
      <c r="C46" s="34" t="str">
        <f>IF(A46="","",_xlfn.XLOOKUP(A46,Stock_Data!$A:$A,Stock_Data!$E:$E))</f>
        <v/>
      </c>
    </row>
    <row r="47" spans="2:3" x14ac:dyDescent="0.2">
      <c r="B47" s="33" t="str">
        <f>IF(A47="","",_xlfn.XLOOKUP(A47,Stock_Data!$A:$A,Stock_Data!$D:$D))</f>
        <v/>
      </c>
      <c r="C47" s="34" t="str">
        <f>IF(A47="","",_xlfn.XLOOKUP(A47,Stock_Data!$A:$A,Stock_Data!$E:$E))</f>
        <v/>
      </c>
    </row>
    <row r="48" spans="2:3" x14ac:dyDescent="0.2">
      <c r="B48" s="33" t="str">
        <f>IF(A48="","",_xlfn.XLOOKUP(A48,Stock_Data!$A:$A,Stock_Data!$D:$D))</f>
        <v/>
      </c>
      <c r="C48" s="34" t="str">
        <f>IF(A48="","",_xlfn.XLOOKUP(A48,Stock_Data!$A:$A,Stock_Data!$E:$E))</f>
        <v/>
      </c>
    </row>
    <row r="49" spans="2:3" x14ac:dyDescent="0.2">
      <c r="B49" s="33" t="str">
        <f>IF(A49="","",_xlfn.XLOOKUP(A49,Stock_Data!$A:$A,Stock_Data!$D:$D))</f>
        <v/>
      </c>
      <c r="C49" s="34" t="str">
        <f>IF(A49="","",_xlfn.XLOOKUP(A49,Stock_Data!$A:$A,Stock_Data!$E:$E))</f>
        <v/>
      </c>
    </row>
    <row r="50" spans="2:3" x14ac:dyDescent="0.2">
      <c r="B50" s="33" t="str">
        <f>IF(A50="","",_xlfn.XLOOKUP(A50,Stock_Data!$A:$A,Stock_Data!$D:$D))</f>
        <v/>
      </c>
      <c r="C50" s="34" t="str">
        <f>IF(A50="","",_xlfn.XLOOKUP(A50,Stock_Data!$A:$A,Stock_Data!$E:$E))</f>
        <v/>
      </c>
    </row>
    <row r="51" spans="2:3" x14ac:dyDescent="0.2">
      <c r="B51" s="33" t="str">
        <f>IF(A51="","",_xlfn.XLOOKUP(A51,Stock_Data!$A:$A,Stock_Data!$D:$D))</f>
        <v/>
      </c>
      <c r="C51" s="34" t="str">
        <f>IF(A51="","",_xlfn.XLOOKUP(A51,Stock_Data!$A:$A,Stock_Data!$E:$E))</f>
        <v/>
      </c>
    </row>
    <row r="52" spans="2:3" x14ac:dyDescent="0.2">
      <c r="B52" s="33" t="str">
        <f>IF(A52="","",_xlfn.XLOOKUP(A52,Stock_Data!$A:$A,Stock_Data!$D:$D))</f>
        <v/>
      </c>
      <c r="C52" s="34" t="str">
        <f>IF(A52="","",_xlfn.XLOOKUP(A52,Stock_Data!$A:$A,Stock_Data!$E:$E))</f>
        <v/>
      </c>
    </row>
    <row r="53" spans="2:3" x14ac:dyDescent="0.2">
      <c r="B53" s="33" t="str">
        <f>IF(A53="","",_xlfn.XLOOKUP(A53,Stock_Data!$A:$A,Stock_Data!$D:$D))</f>
        <v/>
      </c>
      <c r="C53" s="34" t="str">
        <f>IF(A53="","",_xlfn.XLOOKUP(A53,Stock_Data!$A:$A,Stock_Data!$E:$E))</f>
        <v/>
      </c>
    </row>
    <row r="54" spans="2:3" x14ac:dyDescent="0.2">
      <c r="B54" s="33" t="str">
        <f>IF(A54="","",_xlfn.XLOOKUP(A54,Stock_Data!$A:$A,Stock_Data!$D:$D))</f>
        <v/>
      </c>
      <c r="C54" s="34" t="str">
        <f>IF(A54="","",_xlfn.XLOOKUP(A54,Stock_Data!$A:$A,Stock_Data!$E:$E))</f>
        <v/>
      </c>
    </row>
    <row r="55" spans="2:3" x14ac:dyDescent="0.2">
      <c r="B55" s="33" t="str">
        <f>IF(A55="","",_xlfn.XLOOKUP(A55,Stock_Data!$A:$A,Stock_Data!$D:$D))</f>
        <v/>
      </c>
      <c r="C55" s="34" t="str">
        <f>IF(A55="","",_xlfn.XLOOKUP(A55,Stock_Data!$A:$A,Stock_Data!$E:$E))</f>
        <v/>
      </c>
    </row>
    <row r="56" spans="2:3" x14ac:dyDescent="0.2">
      <c r="B56" s="33" t="str">
        <f>IF(A56="","",_xlfn.XLOOKUP(A56,Stock_Data!$A:$A,Stock_Data!$D:$D))</f>
        <v/>
      </c>
      <c r="C56" s="34" t="str">
        <f>IF(A56="","",_xlfn.XLOOKUP(A56,Stock_Data!$A:$A,Stock_Data!$E:$E))</f>
        <v/>
      </c>
    </row>
    <row r="57" spans="2:3" x14ac:dyDescent="0.2">
      <c r="B57" s="33" t="str">
        <f>IF(A57="","",_xlfn.XLOOKUP(A57,Stock_Data!$A:$A,Stock_Data!$D:$D))</f>
        <v/>
      </c>
      <c r="C57" s="34" t="str">
        <f>IF(A57="","",_xlfn.XLOOKUP(A57,Stock_Data!$A:$A,Stock_Data!$E:$E))</f>
        <v/>
      </c>
    </row>
    <row r="58" spans="2:3" x14ac:dyDescent="0.2">
      <c r="B58" s="33" t="str">
        <f>IF(A58="","",_xlfn.XLOOKUP(A58,Stock_Data!$A:$A,Stock_Data!$D:$D))</f>
        <v/>
      </c>
      <c r="C58" s="34" t="str">
        <f>IF(A58="","",_xlfn.XLOOKUP(A58,Stock_Data!$A:$A,Stock_Data!$E:$E))</f>
        <v/>
      </c>
    </row>
    <row r="59" spans="2:3" x14ac:dyDescent="0.2">
      <c r="B59" s="33" t="str">
        <f>IF(A59="","",_xlfn.XLOOKUP(A59,Stock_Data!$A:$A,Stock_Data!$D:$D))</f>
        <v/>
      </c>
      <c r="C59" s="34" t="str">
        <f>IF(A59="","",_xlfn.XLOOKUP(A59,Stock_Data!$A:$A,Stock_Data!$E:$E))</f>
        <v/>
      </c>
    </row>
    <row r="60" spans="2:3" x14ac:dyDescent="0.2">
      <c r="B60" s="33" t="str">
        <f>IF(A60="","",_xlfn.XLOOKUP(A60,Stock_Data!$A:$A,Stock_Data!$D:$D))</f>
        <v/>
      </c>
      <c r="C60" s="34" t="str">
        <f>IF(A60="","",_xlfn.XLOOKUP(A60,Stock_Data!$A:$A,Stock_Data!$E:$E))</f>
        <v/>
      </c>
    </row>
    <row r="61" spans="2:3" x14ac:dyDescent="0.2">
      <c r="B61" s="33" t="str">
        <f>IF(A61="","",_xlfn.XLOOKUP(A61,Stock_Data!$A:$A,Stock_Data!$D:$D))</f>
        <v/>
      </c>
      <c r="C61" s="34" t="str">
        <f>IF(A61="","",_xlfn.XLOOKUP(A61,Stock_Data!$A:$A,Stock_Data!$E:$E))</f>
        <v/>
      </c>
    </row>
    <row r="62" spans="2:3" x14ac:dyDescent="0.2">
      <c r="B62" s="33" t="str">
        <f>IF(A62="","",_xlfn.XLOOKUP(A62,Stock_Data!$A:$A,Stock_Data!$D:$D))</f>
        <v/>
      </c>
      <c r="C62" s="34" t="str">
        <f>IF(A62="","",_xlfn.XLOOKUP(A62,Stock_Data!$A:$A,Stock_Data!$E:$E))</f>
        <v/>
      </c>
    </row>
    <row r="63" spans="2:3" x14ac:dyDescent="0.2">
      <c r="B63" s="33" t="str">
        <f>IF(A63="","",_xlfn.XLOOKUP(A63,Stock_Data!$A:$A,Stock_Data!$D:$D))</f>
        <v/>
      </c>
      <c r="C63" s="34" t="str">
        <f>IF(A63="","",_xlfn.XLOOKUP(A63,Stock_Data!$A:$A,Stock_Data!$E:$E))</f>
        <v/>
      </c>
    </row>
    <row r="64" spans="2:3" x14ac:dyDescent="0.2">
      <c r="B64" s="33" t="str">
        <f>IF(A64="","",_xlfn.XLOOKUP(A64,Stock_Data!$A:$A,Stock_Data!$D:$D))</f>
        <v/>
      </c>
      <c r="C64" s="34" t="str">
        <f>IF(A64="","",_xlfn.XLOOKUP(A64,Stock_Data!$A:$A,Stock_Data!$E:$E))</f>
        <v/>
      </c>
    </row>
    <row r="65" spans="2:3" x14ac:dyDescent="0.2">
      <c r="B65" s="33" t="str">
        <f>IF(A65="","",_xlfn.XLOOKUP(A65,Stock_Data!$A:$A,Stock_Data!$D:$D))</f>
        <v/>
      </c>
      <c r="C65" s="34" t="str">
        <f>IF(A65="","",_xlfn.XLOOKUP(A65,Stock_Data!$A:$A,Stock_Data!$E:$E))</f>
        <v/>
      </c>
    </row>
    <row r="66" spans="2:3" x14ac:dyDescent="0.2">
      <c r="B66" s="33" t="str">
        <f>IF(A66="","",_xlfn.XLOOKUP(A66,Stock_Data!$A:$A,Stock_Data!$D:$D))</f>
        <v/>
      </c>
      <c r="C66" s="34" t="str">
        <f>IF(A66="","",_xlfn.XLOOKUP(A66,Stock_Data!$A:$A,Stock_Data!$E:$E))</f>
        <v/>
      </c>
    </row>
    <row r="67" spans="2:3" x14ac:dyDescent="0.2">
      <c r="B67" s="33" t="str">
        <f>IF(A67="","",_xlfn.XLOOKUP(A67,Stock_Data!$A:$A,Stock_Data!$D:$D))</f>
        <v/>
      </c>
      <c r="C67" s="34" t="str">
        <f>IF(A67="","",_xlfn.XLOOKUP(A67,Stock_Data!$A:$A,Stock_Data!$E:$E))</f>
        <v/>
      </c>
    </row>
    <row r="68" spans="2:3" x14ac:dyDescent="0.2">
      <c r="B68" s="33" t="str">
        <f>IF(A68="","",_xlfn.XLOOKUP(A68,Stock_Data!$A:$A,Stock_Data!$D:$D))</f>
        <v/>
      </c>
      <c r="C68" s="34" t="str">
        <f>IF(A68="","",_xlfn.XLOOKUP(A68,Stock_Data!$A:$A,Stock_Data!$E:$E))</f>
        <v/>
      </c>
    </row>
    <row r="69" spans="2:3" x14ac:dyDescent="0.2">
      <c r="B69" s="33" t="str">
        <f>IF(A69="","",_xlfn.XLOOKUP(A69,Stock_Data!$A:$A,Stock_Data!$D:$D))</f>
        <v/>
      </c>
      <c r="C69" s="34" t="str">
        <f>IF(A69="","",_xlfn.XLOOKUP(A69,Stock_Data!$A:$A,Stock_Data!$E:$E))</f>
        <v/>
      </c>
    </row>
    <row r="70" spans="2:3" x14ac:dyDescent="0.2">
      <c r="B70" s="33" t="str">
        <f>IF(A70="","",_xlfn.XLOOKUP(A70,Stock_Data!$A:$A,Stock_Data!$D:$D))</f>
        <v/>
      </c>
      <c r="C70" s="34" t="str">
        <f>IF(A70="","",_xlfn.XLOOKUP(A70,Stock_Data!$A:$A,Stock_Data!$E:$E))</f>
        <v/>
      </c>
    </row>
    <row r="71" spans="2:3" x14ac:dyDescent="0.2">
      <c r="B71" s="33" t="str">
        <f>IF(A71="","",_xlfn.XLOOKUP(A71,Stock_Data!$A:$A,Stock_Data!$D:$D))</f>
        <v/>
      </c>
      <c r="C71" s="34" t="str">
        <f>IF(A71="","",_xlfn.XLOOKUP(A71,Stock_Data!$A:$A,Stock_Data!$E:$E))</f>
        <v/>
      </c>
    </row>
    <row r="72" spans="2:3" x14ac:dyDescent="0.2">
      <c r="B72" s="33" t="str">
        <f>IF(A72="","",_xlfn.XLOOKUP(A72,Stock_Data!$A:$A,Stock_Data!$D:$D))</f>
        <v/>
      </c>
      <c r="C72" s="34" t="str">
        <f>IF(A72="","",_xlfn.XLOOKUP(A72,Stock_Data!$A:$A,Stock_Data!$E:$E))</f>
        <v/>
      </c>
    </row>
    <row r="73" spans="2:3" x14ac:dyDescent="0.2">
      <c r="B73" s="33" t="str">
        <f>IF(A73="","",_xlfn.XLOOKUP(A73,Stock_Data!$A:$A,Stock_Data!$D:$D))</f>
        <v/>
      </c>
      <c r="C73" s="34" t="str">
        <f>IF(A73="","",_xlfn.XLOOKUP(A73,Stock_Data!$A:$A,Stock_Data!$E:$E))</f>
        <v/>
      </c>
    </row>
    <row r="74" spans="2:3" x14ac:dyDescent="0.2">
      <c r="B74" s="33" t="str">
        <f>IF(A74="","",_xlfn.XLOOKUP(A74,Stock_Data!$A:$A,Stock_Data!$D:$D))</f>
        <v/>
      </c>
      <c r="C74" s="34" t="str">
        <f>IF(A74="","",_xlfn.XLOOKUP(A74,Stock_Data!$A:$A,Stock_Data!$E:$E))</f>
        <v/>
      </c>
    </row>
    <row r="75" spans="2:3" x14ac:dyDescent="0.2">
      <c r="B75" s="33" t="str">
        <f>IF(A75="","",_xlfn.XLOOKUP(A75,Stock_Data!$A:$A,Stock_Data!$D:$D))</f>
        <v/>
      </c>
      <c r="C75" s="34" t="str">
        <f>IF(A75="","",_xlfn.XLOOKUP(A75,Stock_Data!$A:$A,Stock_Data!$E:$E))</f>
        <v/>
      </c>
    </row>
    <row r="76" spans="2:3" x14ac:dyDescent="0.2">
      <c r="B76" s="33" t="str">
        <f>IF(A76="","",_xlfn.XLOOKUP(A76,Stock_Data!$A:$A,Stock_Data!$D:$D))</f>
        <v/>
      </c>
      <c r="C76" s="34" t="str">
        <f>IF(A76="","",_xlfn.XLOOKUP(A76,Stock_Data!$A:$A,Stock_Data!$E:$E))</f>
        <v/>
      </c>
    </row>
    <row r="77" spans="2:3" x14ac:dyDescent="0.2">
      <c r="B77" s="33" t="str">
        <f>IF(A77="","",_xlfn.XLOOKUP(A77,Stock_Data!$A:$A,Stock_Data!$D:$D))</f>
        <v/>
      </c>
      <c r="C77" s="34" t="str">
        <f>IF(A77="","",_xlfn.XLOOKUP(A77,Stock_Data!$A:$A,Stock_Data!$E:$E))</f>
        <v/>
      </c>
    </row>
    <row r="78" spans="2:3" x14ac:dyDescent="0.2">
      <c r="B78" s="33" t="str">
        <f>IF(A78="","",_xlfn.XLOOKUP(A78,Stock_Data!$A:$A,Stock_Data!$D:$D))</f>
        <v/>
      </c>
      <c r="C78" s="34" t="str">
        <f>IF(A78="","",_xlfn.XLOOKUP(A78,Stock_Data!$A:$A,Stock_Data!$E:$E))</f>
        <v/>
      </c>
    </row>
    <row r="79" spans="2:3" x14ac:dyDescent="0.2">
      <c r="B79" s="33" t="str">
        <f>IF(A79="","",_xlfn.XLOOKUP(A79,Stock_Data!$A:$A,Stock_Data!$D:$D))</f>
        <v/>
      </c>
      <c r="C79" s="34" t="str">
        <f>IF(A79="","",_xlfn.XLOOKUP(A79,Stock_Data!$A:$A,Stock_Data!$E:$E))</f>
        <v/>
      </c>
    </row>
    <row r="80" spans="2:3" x14ac:dyDescent="0.2">
      <c r="B80" s="33" t="str">
        <f>IF(A80="","",_xlfn.XLOOKUP(A80,Stock_Data!$A:$A,Stock_Data!$D:$D))</f>
        <v/>
      </c>
      <c r="C80" s="34" t="str">
        <f>IF(A80="","",_xlfn.XLOOKUP(A80,Stock_Data!$A:$A,Stock_Data!$E:$E))</f>
        <v/>
      </c>
    </row>
    <row r="81" spans="2:3" x14ac:dyDescent="0.2">
      <c r="B81" s="33" t="str">
        <f>IF(A81="","",_xlfn.XLOOKUP(A81,Stock_Data!$A:$A,Stock_Data!$D:$D))</f>
        <v/>
      </c>
      <c r="C81" s="34" t="str">
        <f>IF(A81="","",_xlfn.XLOOKUP(A81,Stock_Data!$A:$A,Stock_Data!$E:$E))</f>
        <v/>
      </c>
    </row>
    <row r="82" spans="2:3" x14ac:dyDescent="0.2">
      <c r="B82" s="33" t="str">
        <f>IF(A82="","",_xlfn.XLOOKUP(A82,Stock_Data!$A:$A,Stock_Data!$D:$D))</f>
        <v/>
      </c>
      <c r="C82" s="34" t="str">
        <f>IF(A82="","",_xlfn.XLOOKUP(A82,Stock_Data!$A:$A,Stock_Data!$E:$E))</f>
        <v/>
      </c>
    </row>
    <row r="83" spans="2:3" x14ac:dyDescent="0.2">
      <c r="B83" s="33" t="str">
        <f>IF(A83="","",_xlfn.XLOOKUP(A83,Stock_Data!$A:$A,Stock_Data!$D:$D))</f>
        <v/>
      </c>
      <c r="C83" s="34" t="str">
        <f>IF(A83="","",_xlfn.XLOOKUP(A83,Stock_Data!$A:$A,Stock_Data!$E:$E))</f>
        <v/>
      </c>
    </row>
    <row r="84" spans="2:3" x14ac:dyDescent="0.2">
      <c r="B84" s="33" t="str">
        <f>IF(A84="","",_xlfn.XLOOKUP(A84,Stock_Data!$A:$A,Stock_Data!$D:$D))</f>
        <v/>
      </c>
      <c r="C84" s="34" t="str">
        <f>IF(A84="","",_xlfn.XLOOKUP(A84,Stock_Data!$A:$A,Stock_Data!$E:$E))</f>
        <v/>
      </c>
    </row>
    <row r="85" spans="2:3" x14ac:dyDescent="0.2">
      <c r="B85" s="33" t="str">
        <f>IF(A85="","",_xlfn.XLOOKUP(A85,Stock_Data!$A:$A,Stock_Data!$D:$D))</f>
        <v/>
      </c>
      <c r="C85" s="34" t="str">
        <f>IF(A85="","",_xlfn.XLOOKUP(A85,Stock_Data!$A:$A,Stock_Data!$E:$E))</f>
        <v/>
      </c>
    </row>
    <row r="86" spans="2:3" x14ac:dyDescent="0.2">
      <c r="B86" s="33" t="str">
        <f>IF(A86="","",_xlfn.XLOOKUP(A86,Stock_Data!$A:$A,Stock_Data!$D:$D))</f>
        <v/>
      </c>
      <c r="C86" s="34" t="str">
        <f>IF(A86="","",_xlfn.XLOOKUP(A86,Stock_Data!$A:$A,Stock_Data!$E:$E))</f>
        <v/>
      </c>
    </row>
    <row r="87" spans="2:3" x14ac:dyDescent="0.2">
      <c r="B87" s="33" t="str">
        <f>IF(A87="","",_xlfn.XLOOKUP(A87,Stock_Data!$A:$A,Stock_Data!$D:$D))</f>
        <v/>
      </c>
      <c r="C87" s="34" t="str">
        <f>IF(A87="","",_xlfn.XLOOKUP(A87,Stock_Data!$A:$A,Stock_Data!$E:$E))</f>
        <v/>
      </c>
    </row>
    <row r="88" spans="2:3" x14ac:dyDescent="0.2">
      <c r="B88" s="33" t="str">
        <f>IF(A88="","",_xlfn.XLOOKUP(A88,Stock_Data!$A:$A,Stock_Data!$D:$D))</f>
        <v/>
      </c>
      <c r="C88" s="34" t="str">
        <f>IF(A88="","",_xlfn.XLOOKUP(A88,Stock_Data!$A:$A,Stock_Data!$E:$E))</f>
        <v/>
      </c>
    </row>
    <row r="89" spans="2:3" x14ac:dyDescent="0.2">
      <c r="B89" s="33" t="str">
        <f>IF(A89="","",_xlfn.XLOOKUP(A89,Stock_Data!$A:$A,Stock_Data!$D:$D))</f>
        <v/>
      </c>
      <c r="C89" s="34" t="str">
        <f>IF(A89="","",_xlfn.XLOOKUP(A89,Stock_Data!$A:$A,Stock_Data!$E:$E))</f>
        <v/>
      </c>
    </row>
    <row r="90" spans="2:3" x14ac:dyDescent="0.2">
      <c r="B90" s="33" t="str">
        <f>IF(A90="","",_xlfn.XLOOKUP(A90,Stock_Data!$A:$A,Stock_Data!$D:$D))</f>
        <v/>
      </c>
      <c r="C90" s="34" t="str">
        <f>IF(A90="","",_xlfn.XLOOKUP(A90,Stock_Data!$A:$A,Stock_Data!$E:$E))</f>
        <v/>
      </c>
    </row>
    <row r="91" spans="2:3" x14ac:dyDescent="0.2">
      <c r="B91" s="33" t="str">
        <f>IF(A91="","",_xlfn.XLOOKUP(A91,Stock_Data!$A:$A,Stock_Data!$D:$D))</f>
        <v/>
      </c>
      <c r="C91" s="34" t="str">
        <f>IF(A91="","",_xlfn.XLOOKUP(A91,Stock_Data!$A:$A,Stock_Data!$E:$E))</f>
        <v/>
      </c>
    </row>
    <row r="92" spans="2:3" x14ac:dyDescent="0.2">
      <c r="B92" s="33" t="str">
        <f>IF(A92="","",_xlfn.XLOOKUP(A92,Stock_Data!$A:$A,Stock_Data!$D:$D))</f>
        <v/>
      </c>
      <c r="C92" s="34" t="str">
        <f>IF(A92="","",_xlfn.XLOOKUP(A92,Stock_Data!$A:$A,Stock_Data!$E:$E))</f>
        <v/>
      </c>
    </row>
    <row r="93" spans="2:3" x14ac:dyDescent="0.2">
      <c r="B93" s="33" t="str">
        <f>IF(A93="","",_xlfn.XLOOKUP(A93,Stock_Data!$A:$A,Stock_Data!$D:$D))</f>
        <v/>
      </c>
      <c r="C93" s="34" t="str">
        <f>IF(A93="","",_xlfn.XLOOKUP(A93,Stock_Data!$A:$A,Stock_Data!$E:$E))</f>
        <v/>
      </c>
    </row>
    <row r="94" spans="2:3" x14ac:dyDescent="0.2">
      <c r="B94" s="33" t="str">
        <f>IF(A94="","",_xlfn.XLOOKUP(A94,Stock_Data!$A:$A,Stock_Data!$D:$D))</f>
        <v/>
      </c>
      <c r="C94" s="34" t="str">
        <f>IF(A94="","",_xlfn.XLOOKUP(A94,Stock_Data!$A:$A,Stock_Data!$E:$E))</f>
        <v/>
      </c>
    </row>
    <row r="95" spans="2:3" x14ac:dyDescent="0.2">
      <c r="B95" s="33" t="str">
        <f>IF(A95="","",_xlfn.XLOOKUP(A95,Stock_Data!$A:$A,Stock_Data!$D:$D))</f>
        <v/>
      </c>
      <c r="C95" s="34" t="str">
        <f>IF(A95="","",_xlfn.XLOOKUP(A95,Stock_Data!$A:$A,Stock_Data!$E:$E))</f>
        <v/>
      </c>
    </row>
    <row r="96" spans="2:3" x14ac:dyDescent="0.2">
      <c r="B96" s="33" t="str">
        <f>IF(A96="","",_xlfn.XLOOKUP(A96,Stock_Data!$A:$A,Stock_Data!$D:$D))</f>
        <v/>
      </c>
      <c r="C96" s="34" t="str">
        <f>IF(A96="","",_xlfn.XLOOKUP(A96,Stock_Data!$A:$A,Stock_Data!$E:$E))</f>
        <v/>
      </c>
    </row>
    <row r="97" spans="2:3" x14ac:dyDescent="0.2">
      <c r="B97" s="33" t="str">
        <f>IF(A97="","",_xlfn.XLOOKUP(A97,Stock_Data!$A:$A,Stock_Data!$D:$D))</f>
        <v/>
      </c>
      <c r="C97" s="34" t="str">
        <f>IF(A97="","",_xlfn.XLOOKUP(A97,Stock_Data!$A:$A,Stock_Data!$E:$E))</f>
        <v/>
      </c>
    </row>
    <row r="98" spans="2:3" x14ac:dyDescent="0.2">
      <c r="B98" s="33" t="str">
        <f>IF(A98="","",_xlfn.XLOOKUP(A98,Stock_Data!$A:$A,Stock_Data!$D:$D))</f>
        <v/>
      </c>
      <c r="C98" s="34" t="str">
        <f>IF(A98="","",_xlfn.XLOOKUP(A98,Stock_Data!$A:$A,Stock_Data!$E:$E))</f>
        <v/>
      </c>
    </row>
    <row r="99" spans="2:3" x14ac:dyDescent="0.2">
      <c r="B99" s="33" t="str">
        <f>IF(A99="","",_xlfn.XLOOKUP(A99,Stock_Data!$A:$A,Stock_Data!$D:$D))</f>
        <v/>
      </c>
      <c r="C99" s="34" t="str">
        <f>IF(A99="","",_xlfn.XLOOKUP(A99,Stock_Data!$A:$A,Stock_Data!$E:$E))</f>
        <v/>
      </c>
    </row>
    <row r="100" spans="2:3" x14ac:dyDescent="0.2">
      <c r="B100" s="33" t="str">
        <f>IF(A100="","",_xlfn.XLOOKUP(A100,Stock_Data!$A:$A,Stock_Data!$D:$D))</f>
        <v/>
      </c>
      <c r="C100" s="34" t="str">
        <f>IF(A100="","",_xlfn.XLOOKUP(A100,Stock_Data!$A:$A,Stock_Data!$E:$E))</f>
        <v/>
      </c>
    </row>
  </sheetData>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4CE7C-BCB4-D148-B9F4-27BE5BB492D2}">
  <dimension ref="A1:G100"/>
  <sheetViews>
    <sheetView workbookViewId="0">
      <selection activeCell="G26" sqref="G26"/>
    </sheetView>
  </sheetViews>
  <sheetFormatPr baseColWidth="10" defaultRowHeight="16" x14ac:dyDescent="0.2"/>
  <cols>
    <col min="2" max="2" width="38.5" customWidth="1"/>
    <col min="3" max="3" width="23.6640625" customWidth="1"/>
    <col min="4" max="4" width="19.5" style="27" customWidth="1"/>
    <col min="5" max="5" width="16.33203125" style="29" customWidth="1"/>
    <col min="6" max="6" width="16.33203125" customWidth="1"/>
    <col min="7" max="7" width="39.33203125" customWidth="1"/>
  </cols>
  <sheetData>
    <row r="1" spans="1:7" ht="22" x14ac:dyDescent="0.3">
      <c r="A1" s="25" t="s">
        <v>1</v>
      </c>
      <c r="B1" s="25" t="s">
        <v>15</v>
      </c>
      <c r="C1" s="25" t="s">
        <v>11</v>
      </c>
      <c r="D1" s="26" t="s">
        <v>22</v>
      </c>
      <c r="E1" s="30" t="s">
        <v>23</v>
      </c>
      <c r="F1" s="25" t="s">
        <v>49</v>
      </c>
      <c r="G1" s="25" t="s">
        <v>13</v>
      </c>
    </row>
    <row r="2" spans="1:7" x14ac:dyDescent="0.2">
      <c r="A2" t="str" cm="1">
        <f t="array" ref="A2:A9">_xlfn.UNIQUE(Transactions[Ticker])</f>
        <v>AAPL</v>
      </c>
      <c r="B2" t="e" vm="1">
        <v>#VALUE!</v>
      </c>
      <c r="C2" t="str" cm="1">
        <f t="array" aca="1" ref="C2" ca="1">IF(A2="","",_FV(B2,"Nombre"))</f>
        <v>APPLE INC.</v>
      </c>
      <c r="D2" s="27" cm="1">
        <f t="array" aca="1" ref="D2" ca="1">IFERROR(_FV(B2,"Precio"),"")</f>
        <v>280.14</v>
      </c>
      <c r="E2" s="28">
        <f t="shared" ref="E2:E6" ca="1" si="0">TODAY()</f>
        <v>46145</v>
      </c>
      <c r="F2" t="str" cm="1">
        <f t="array" aca="1" ref="F2" ca="1">IF(A2="","",_FV(B2,"Tipo de instrumento",TRUE))</f>
        <v>Acciones</v>
      </c>
      <c r="G2" s="24" t="str" cm="1">
        <f t="array" aca="1" ref="G2" ca="1">IF(A2="","",IFERROR(_FV(B2,"Sector"),"N/A"))</f>
        <v>Computers, Phones &amp; Household Electronics</v>
      </c>
    </row>
    <row r="3" spans="1:7" x14ac:dyDescent="0.2">
      <c r="A3" t="str">
        <v>MSFT</v>
      </c>
      <c r="B3" t="e" vm="2">
        <v>#VALUE!</v>
      </c>
      <c r="C3" t="str" cm="1">
        <f t="array" aca="1" ref="C3" ca="1">IF(A3="","",_FV(B3,"Nombre"))</f>
        <v>MICROSOFT CORPORATION</v>
      </c>
      <c r="D3" s="27" cm="1">
        <f t="array" aca="1" ref="D3" ca="1">IFERROR(_FV(B3,"Precio"),"")</f>
        <v>414.44</v>
      </c>
      <c r="E3" s="28">
        <f t="shared" ca="1" si="0"/>
        <v>46145</v>
      </c>
      <c r="F3" t="str" cm="1">
        <f t="array" aca="1" ref="F3" ca="1">IF(A3="","",_FV(B3,"Tipo de instrumento",TRUE))</f>
        <v>Acciones</v>
      </c>
      <c r="G3" s="24" t="str" cm="1">
        <f t="array" aca="1" ref="G3" ca="1">IF(A3="","",IFERROR(_FV(B3,"Sector"),"N/A"))</f>
        <v>Software &amp; IT Services</v>
      </c>
    </row>
    <row r="4" spans="1:7" x14ac:dyDescent="0.2">
      <c r="A4" t="str">
        <v>SPY</v>
      </c>
      <c r="B4" t="e" vm="3">
        <v>#VALUE!</v>
      </c>
      <c r="C4" t="str" cm="1">
        <f t="array" aca="1" ref="C4" ca="1">IF(A4="","",_FV(B4,"Nombre"))</f>
        <v>State Street SPDR S&amp;P500</v>
      </c>
      <c r="D4" s="27" cm="1">
        <f t="array" aca="1" ref="D4" ca="1">IFERROR(_FV(B4,"Precio"),"")</f>
        <v>720.65</v>
      </c>
      <c r="E4" s="28">
        <f t="shared" ca="1" si="0"/>
        <v>46145</v>
      </c>
      <c r="F4" t="str" cm="1">
        <f t="array" aca="1" ref="F4" ca="1">IF(A4="","",_FV(B4,"Tipo de instrumento",TRUE))</f>
        <v>ETF</v>
      </c>
      <c r="G4" s="24" t="str" cm="1">
        <f t="array" ref="G4">IF(A4="","",IFERROR(_FV(B4,"Sector"),"N/A"))</f>
        <v>N/A</v>
      </c>
    </row>
    <row r="5" spans="1:7" x14ac:dyDescent="0.2">
      <c r="A5" t="str">
        <v>NVDA</v>
      </c>
      <c r="B5" t="e" vm="4">
        <v>#VALUE!</v>
      </c>
      <c r="C5" t="str" cm="1">
        <f t="array" aca="1" ref="C5" ca="1">IF(A5="","",_FV(B5,"Nombre"))</f>
        <v>NVIDIA CORPORATION</v>
      </c>
      <c r="D5" s="27" cm="1">
        <f t="array" aca="1" ref="D5" ca="1">IFERROR(_FV(B5,"Precio"),"")</f>
        <v>198.45</v>
      </c>
      <c r="E5" s="28">
        <f t="shared" ca="1" si="0"/>
        <v>46145</v>
      </c>
      <c r="F5" t="str" cm="1">
        <f t="array" aca="1" ref="F5" ca="1">IF(A5="","",_FV(B5,"Tipo de instrumento",TRUE))</f>
        <v>Acciones</v>
      </c>
      <c r="G5" s="24" t="str" cm="1">
        <f t="array" aca="1" ref="G5" ca="1">IF(A5="","",IFERROR(_FV(B5,"Sector"),"N/A"))</f>
        <v>Semiconductors &amp; Semiconductor Equipment</v>
      </c>
    </row>
    <row r="6" spans="1:7" x14ac:dyDescent="0.2">
      <c r="A6" t="str">
        <v>GLD</v>
      </c>
      <c r="B6" t="e" vm="5">
        <v>#VALUE!</v>
      </c>
      <c r="C6" t="str" cm="1">
        <f t="array" aca="1" ref="C6" ca="1">IF(A6="","",_FV(B6,"Nombre"))</f>
        <v>SPDR Gold</v>
      </c>
      <c r="D6" s="27" cm="1">
        <f t="array" aca="1" ref="D6" ca="1">IFERROR(_FV(B6,"Precio"),"")</f>
        <v>423.18</v>
      </c>
      <c r="E6" s="28">
        <f t="shared" ca="1" si="0"/>
        <v>46145</v>
      </c>
      <c r="F6" t="str" cm="1">
        <f t="array" aca="1" ref="F6" ca="1">IF(A6="","",_FV(B6,"Tipo de instrumento",TRUE))</f>
        <v>ETF</v>
      </c>
      <c r="G6" s="24" t="str" cm="1">
        <f t="array" ref="G6">IF(A6="","",IFERROR(_FV(B6,"Sector"),"N/A"))</f>
        <v>N/A</v>
      </c>
    </row>
    <row r="7" spans="1:7" x14ac:dyDescent="0.2">
      <c r="A7" t="str">
        <v>JPM</v>
      </c>
      <c r="B7" t="e" vm="6">
        <v>#VALUE!</v>
      </c>
      <c r="C7" t="str" cm="1">
        <f t="array" aca="1" ref="C7" ca="1">IF(A7="","",_FV(B7,"Nombre"))</f>
        <v>JPMORGAN CHASE &amp; CO.</v>
      </c>
      <c r="D7" s="27" cm="1">
        <f t="array" aca="1" ref="D7" ca="1">IFERROR(_FV(B7,"Precio"),"")</f>
        <v>312.47000000000003</v>
      </c>
      <c r="E7" s="28">
        <f ca="1">TODAY()</f>
        <v>46145</v>
      </c>
      <c r="F7" t="str" cm="1">
        <f t="array" aca="1" ref="F7" ca="1">IF(A7="","",_FV(B7,"Tipo de instrumento",TRUE))</f>
        <v>Acciones</v>
      </c>
      <c r="G7" s="24" t="str" cm="1">
        <f t="array" aca="1" ref="G7" ca="1">IF(A7="","",IFERROR(_FV(B7,"Sector"),"N/A"))</f>
        <v>Banking Services</v>
      </c>
    </row>
    <row r="8" spans="1:7" x14ac:dyDescent="0.2">
      <c r="A8" t="str">
        <v>AMZN</v>
      </c>
      <c r="B8" t="e" vm="7">
        <v>#VALUE!</v>
      </c>
      <c r="C8" t="str" cm="1">
        <f t="array" aca="1" ref="C8" ca="1">IF(A8="","",_FV(B8,"Nombre"))</f>
        <v>AMAZON.COM, INC.</v>
      </c>
      <c r="D8" s="27" cm="1">
        <f t="array" aca="1" ref="D8" ca="1">IFERROR(_FV(B8,"Precio"),"")</f>
        <v>268.26</v>
      </c>
      <c r="E8" s="28">
        <f ca="1">TODAY()</f>
        <v>46145</v>
      </c>
      <c r="F8" t="str" cm="1">
        <f t="array" aca="1" ref="F8" ca="1">IF(A8="","",_FV(B8,"Tipo de instrumento",TRUE))</f>
        <v>Acciones</v>
      </c>
      <c r="G8" s="24" t="str" cm="1">
        <f t="array" aca="1" ref="G8" ca="1">IF(A8="","",IFERROR(_FV(B8,"Sector"),"N/A"))</f>
        <v>Diversified Retail</v>
      </c>
    </row>
    <row r="9" spans="1:7" x14ac:dyDescent="0.2">
      <c r="A9" t="str">
        <v>GOOGL</v>
      </c>
      <c r="B9" t="e" vm="8">
        <v>#VALUE!</v>
      </c>
      <c r="C9" t="str" cm="1">
        <f t="array" aca="1" ref="C9" ca="1">IF(A9="","",_FV(B9,"Nombre"))</f>
        <v>ALPHABET INC.</v>
      </c>
      <c r="D9" s="27" cm="1">
        <f t="array" aca="1" ref="D9" ca="1">IFERROR(_FV(B9,"Precio"),"")</f>
        <v>385.69</v>
      </c>
      <c r="E9" s="28">
        <f ca="1">TODAY()</f>
        <v>46145</v>
      </c>
      <c r="F9" t="str" cm="1">
        <f t="array" aca="1" ref="F9" ca="1">IF(A9="","",_FV(B9,"Tipo de instrumento",TRUE))</f>
        <v>Acciones</v>
      </c>
      <c r="G9" s="24" t="str" cm="1">
        <f t="array" aca="1" ref="G9" ca="1">IF(A9="","",IFERROR(_FV(B9,"Sector"),"N/A"))</f>
        <v>Software &amp; IT Services</v>
      </c>
    </row>
    <row r="10" spans="1:7" x14ac:dyDescent="0.2">
      <c r="C10" t="str" cm="1">
        <f t="array" ref="C10">IF(A10="","",_FV(B10,"Nombre"))</f>
        <v/>
      </c>
      <c r="D10" s="27" t="str" cm="1">
        <f t="array" ref="D10">IFERROR(_FV(B10,"Precio"),"")</f>
        <v/>
      </c>
      <c r="E10" s="28"/>
      <c r="F10" t="str" cm="1">
        <f t="array" ref="F10">IF(A10="","",_FV(B10,"Tipo de instrumento",TRUE))</f>
        <v/>
      </c>
      <c r="G10" s="24" t="str" cm="1">
        <f t="array" ref="G10">IF(A10="","",IFERROR(_FV(B10,"Sector"),"N/A"))</f>
        <v/>
      </c>
    </row>
    <row r="11" spans="1:7" x14ac:dyDescent="0.2">
      <c r="C11" t="str" cm="1">
        <f t="array" ref="C11">IF(A11="","",_FV(B11,"Nombre"))</f>
        <v/>
      </c>
      <c r="D11" s="27" t="str" cm="1">
        <f t="array" ref="D11">IFERROR(_FV(B11,"Precio"),"")</f>
        <v/>
      </c>
      <c r="E11" s="28"/>
      <c r="F11" t="str" cm="1">
        <f t="array" ref="F11">IF(A11="","",_FV(B11,"Tipo de instrumento",TRUE))</f>
        <v/>
      </c>
      <c r="G11" s="24" t="str" cm="1">
        <f t="array" ref="G11">IF(A11="","",IFERROR(_FV(B11,"Sector"),"N/A"))</f>
        <v/>
      </c>
    </row>
    <row r="12" spans="1:7" x14ac:dyDescent="0.2">
      <c r="C12" t="str" cm="1">
        <f t="array" ref="C12">IF(A12="","",_FV(B12,"Nombre"))</f>
        <v/>
      </c>
      <c r="D12" s="27" t="str" cm="1">
        <f t="array" ref="D12">IFERROR(_FV(B12,"Precio"),"")</f>
        <v/>
      </c>
      <c r="E12" s="28"/>
      <c r="F12" t="str" cm="1">
        <f t="array" ref="F12">IF(A12="","",_FV(B12,"Tipo de instrumento",TRUE))</f>
        <v/>
      </c>
      <c r="G12" s="24" t="str" cm="1">
        <f t="array" ref="G12">IF(A12="","",IFERROR(_FV(B12,"Sector"),"N/A"))</f>
        <v/>
      </c>
    </row>
    <row r="13" spans="1:7" x14ac:dyDescent="0.2">
      <c r="C13" t="str" cm="1">
        <f t="array" ref="C13">IF(A13="","",_FV(B13,"Nombre"))</f>
        <v/>
      </c>
      <c r="D13" s="27" t="str" cm="1">
        <f t="array" ref="D13">IFERROR(_FV(B13,"Precio"),"")</f>
        <v/>
      </c>
      <c r="E13" s="28"/>
      <c r="F13" t="str" cm="1">
        <f t="array" ref="F13">IF(A13="","",_FV(B13,"Tipo de instrumento",TRUE))</f>
        <v/>
      </c>
      <c r="G13" s="24" t="str" cm="1">
        <f t="array" ref="G13">IF(A13="","",IFERROR(_FV(B13,"Sector"),"N/A"))</f>
        <v/>
      </c>
    </row>
    <row r="14" spans="1:7" x14ac:dyDescent="0.2">
      <c r="C14" t="str" cm="1">
        <f t="array" ref="C14">IF(A14="","",_FV(B14,"Nombre"))</f>
        <v/>
      </c>
      <c r="D14" s="27" t="str" cm="1">
        <f t="array" ref="D14">IFERROR(_FV(B14,"Precio"),"")</f>
        <v/>
      </c>
      <c r="E14" s="28"/>
      <c r="F14" t="str" cm="1">
        <f t="array" ref="F14">IF(A14="","",_FV(B14,"Tipo de instrumento",TRUE))</f>
        <v/>
      </c>
      <c r="G14" s="24" t="str" cm="1">
        <f t="array" ref="G14">IF(A14="","",IFERROR(_FV(B14,"Sector"),"N/A"))</f>
        <v/>
      </c>
    </row>
    <row r="15" spans="1:7" x14ac:dyDescent="0.2">
      <c r="C15" t="str" cm="1">
        <f t="array" ref="C15">IF(A15="","",_FV(B15,"Nombre"))</f>
        <v/>
      </c>
      <c r="D15" s="27" t="str" cm="1">
        <f t="array" ref="D15">IFERROR(_FV(B15,"Precio"),"")</f>
        <v/>
      </c>
      <c r="E15" s="28"/>
      <c r="F15" t="str" cm="1">
        <f t="array" ref="F15">IF(A15="","",_FV(B15,"Tipo de instrumento",TRUE))</f>
        <v/>
      </c>
      <c r="G15" s="24" t="str" cm="1">
        <f t="array" ref="G15">IF(A15="","",IFERROR(_FV(B15,"Sector"),"N/A"))</f>
        <v/>
      </c>
    </row>
    <row r="16" spans="1:7" x14ac:dyDescent="0.2">
      <c r="C16" t="str" cm="1">
        <f t="array" ref="C16">IF(A16="","",_FV(B16,"Nombre"))</f>
        <v/>
      </c>
      <c r="D16" s="27" t="str" cm="1">
        <f t="array" ref="D16">IFERROR(_FV(B16,"Precio"),"")</f>
        <v/>
      </c>
      <c r="E16" s="28"/>
      <c r="F16" t="str" cm="1">
        <f t="array" ref="F16">IF(A16="","",_FV(B16,"Tipo de instrumento",TRUE))</f>
        <v/>
      </c>
      <c r="G16" s="24" t="str" cm="1">
        <f t="array" ref="G16">IF(A16="","",IFERROR(_FV(B16,"Sector"),"N/A"))</f>
        <v/>
      </c>
    </row>
    <row r="17" spans="3:7" x14ac:dyDescent="0.2">
      <c r="C17" t="str" cm="1">
        <f t="array" ref="C17">IF(A17="","",_FV(B17,"Nombre"))</f>
        <v/>
      </c>
      <c r="D17" s="27" t="str" cm="1">
        <f t="array" ref="D17">IFERROR(_FV(B17,"Precio"),"")</f>
        <v/>
      </c>
      <c r="E17" s="28"/>
      <c r="F17" t="str" cm="1">
        <f t="array" ref="F17">IF(A17="","",_FV(B17,"Tipo de instrumento",TRUE))</f>
        <v/>
      </c>
      <c r="G17" s="24" t="str" cm="1">
        <f t="array" ref="G17">IF(A17="","",IFERROR(_FV(B17,"Sector"),"N/A"))</f>
        <v/>
      </c>
    </row>
    <row r="18" spans="3:7" x14ac:dyDescent="0.2">
      <c r="C18" t="str" cm="1">
        <f t="array" ref="C18">IF(A18="","",_FV(B18,"Nombre"))</f>
        <v/>
      </c>
      <c r="D18" s="27" t="str" cm="1">
        <f t="array" ref="D18">IFERROR(_FV(B18,"Precio"),"")</f>
        <v/>
      </c>
      <c r="E18" s="28"/>
      <c r="F18" t="str" cm="1">
        <f t="array" ref="F18">IF(A18="","",_FV(B18,"Tipo de instrumento",TRUE))</f>
        <v/>
      </c>
      <c r="G18" s="24" t="str" cm="1">
        <f t="array" ref="G18">IF(A18="","",IFERROR(_FV(B18,"Sector"),"N/A"))</f>
        <v/>
      </c>
    </row>
    <row r="19" spans="3:7" x14ac:dyDescent="0.2">
      <c r="C19" t="str" cm="1">
        <f t="array" ref="C19">IF(A19="","",_FV(B19,"Nombre"))</f>
        <v/>
      </c>
      <c r="D19" s="27" t="str" cm="1">
        <f t="array" ref="D19">IFERROR(_FV(B19,"Precio"),"")</f>
        <v/>
      </c>
      <c r="F19" t="str" cm="1">
        <f t="array" ref="F19">IF(A19="","",_FV(B19,"Tipo de instrumento",TRUE))</f>
        <v/>
      </c>
      <c r="G19" s="24" t="str" cm="1">
        <f t="array" ref="G19">IF(A19="","",IFERROR(_FV(B19,"Sector"),"N/A"))</f>
        <v/>
      </c>
    </row>
    <row r="20" spans="3:7" x14ac:dyDescent="0.2">
      <c r="C20" t="str" cm="1">
        <f t="array" ref="C20">IF(A20="","",_FV(B20,"Nombre"))</f>
        <v/>
      </c>
      <c r="D20" s="27" t="str" cm="1">
        <f t="array" ref="D20">IFERROR(_FV(B20,"Precio"),"")</f>
        <v/>
      </c>
      <c r="F20" t="str" cm="1">
        <f t="array" ref="F20">IF(A20="","",_FV(B20,"Tipo de instrumento",TRUE))</f>
        <v/>
      </c>
      <c r="G20" s="24" t="str" cm="1">
        <f t="array" ref="G20">IF(A20="","",IFERROR(_FV(B20,"Sector"),"N/A"))</f>
        <v/>
      </c>
    </row>
    <row r="21" spans="3:7" x14ac:dyDescent="0.2">
      <c r="C21" t="str" cm="1">
        <f t="array" ref="C21">IF(A21="","",_FV(B21,"Nombre"))</f>
        <v/>
      </c>
      <c r="D21" s="27" t="str" cm="1">
        <f t="array" ref="D21">IFERROR(_FV(B21,"Precio"),"")</f>
        <v/>
      </c>
      <c r="F21" t="str" cm="1">
        <f t="array" ref="F21">IF(A21="","",_FV(B21,"Tipo de instrumento",TRUE))</f>
        <v/>
      </c>
      <c r="G21" s="24" t="str" cm="1">
        <f t="array" ref="G21">IF(A21="","",IFERROR(_FV(B21,"Sector"),"N/A"))</f>
        <v/>
      </c>
    </row>
    <row r="22" spans="3:7" x14ac:dyDescent="0.2">
      <c r="C22" t="str" cm="1">
        <f t="array" ref="C22">IF(A22="","",_FV(B22,"Nombre"))</f>
        <v/>
      </c>
      <c r="D22" s="27" t="str" cm="1">
        <f t="array" ref="D22">IFERROR(_FV(B22,"Precio"),"")</f>
        <v/>
      </c>
      <c r="F22" t="str" cm="1">
        <f t="array" ref="F22">IF(A22="","",_FV(B22,"Tipo de instrumento",TRUE))</f>
        <v/>
      </c>
      <c r="G22" s="24" t="str" cm="1">
        <f t="array" ref="G22">IF(A22="","",IFERROR(_FV(B22,"Sector"),"N/A"))</f>
        <v/>
      </c>
    </row>
    <row r="23" spans="3:7" x14ac:dyDescent="0.2">
      <c r="C23" t="str" cm="1">
        <f t="array" ref="C23">IF(A23="","",_FV(B23,"Nombre"))</f>
        <v/>
      </c>
      <c r="D23" s="27" t="str" cm="1">
        <f t="array" ref="D23">IFERROR(_FV(B23,"Precio"),"")</f>
        <v/>
      </c>
      <c r="F23" t="str" cm="1">
        <f t="array" ref="F23">IF(A23="","",_FV(B23,"Tipo de instrumento",TRUE))</f>
        <v/>
      </c>
      <c r="G23" s="24" t="str" cm="1">
        <f t="array" ref="G23">IF(A23="","",IFERROR(_FV(B23,"Sector"),"N/A"))</f>
        <v/>
      </c>
    </row>
    <row r="24" spans="3:7" x14ac:dyDescent="0.2">
      <c r="C24" t="str" cm="1">
        <f t="array" ref="C24">IF(A24="","",_FV(B24,"Nombre"))</f>
        <v/>
      </c>
      <c r="D24" s="27" t="str" cm="1">
        <f t="array" ref="D24">IFERROR(_FV(B24,"Precio"),"")</f>
        <v/>
      </c>
      <c r="F24" t="str" cm="1">
        <f t="array" ref="F24">IF(A24="","",_FV(B24,"Tipo de instrumento",TRUE))</f>
        <v/>
      </c>
      <c r="G24" s="24" t="str" cm="1">
        <f t="array" ref="G24">IF(A24="","",IFERROR(_FV(B24,"Sector"),"N/A"))</f>
        <v/>
      </c>
    </row>
    <row r="25" spans="3:7" x14ac:dyDescent="0.2">
      <c r="C25" t="str" cm="1">
        <f t="array" ref="C25">IF(A25="","",_FV(B25,"Nombre"))</f>
        <v/>
      </c>
      <c r="D25" s="27" t="str" cm="1">
        <f t="array" ref="D25">IFERROR(_FV(B25,"Precio"),"")</f>
        <v/>
      </c>
      <c r="F25" t="str" cm="1">
        <f t="array" ref="F25">IF(A25="","",_FV(B25,"Tipo de instrumento",TRUE))</f>
        <v/>
      </c>
      <c r="G25" s="24" t="str" cm="1">
        <f t="array" ref="G25">IF(A25="","",IFERROR(_FV(B25,"Sector"),"N/A"))</f>
        <v/>
      </c>
    </row>
    <row r="26" spans="3:7" x14ac:dyDescent="0.2">
      <c r="C26" t="str" cm="1">
        <f t="array" ref="C26">IF(A26="","",_FV(B26,"Nombre"))</f>
        <v/>
      </c>
      <c r="D26" s="27" t="str" cm="1">
        <f t="array" ref="D26">IFERROR(_FV(B26,"Precio"),"")</f>
        <v/>
      </c>
      <c r="F26" t="str" cm="1">
        <f t="array" ref="F26">IF(A26="","",_FV(B26,"Tipo de instrumento",TRUE))</f>
        <v/>
      </c>
      <c r="G26" s="24" t="str" cm="1">
        <f t="array" ref="G26">IF(A26="","",IFERROR(_FV(B26,"Sector"),"N/A"))</f>
        <v/>
      </c>
    </row>
    <row r="27" spans="3:7" x14ac:dyDescent="0.2">
      <c r="C27" t="str" cm="1">
        <f t="array" ref="C27">IF(A27="","",_FV(B27,"Nombre"))</f>
        <v/>
      </c>
      <c r="D27" s="27" t="str" cm="1">
        <f t="array" ref="D27">IFERROR(_FV(B27,"Precio"),"")</f>
        <v/>
      </c>
      <c r="F27" t="str" cm="1">
        <f t="array" ref="F27">IF(A27="","",_FV(B27,"Tipo de instrumento",TRUE))</f>
        <v/>
      </c>
      <c r="G27" s="24" t="str" cm="1">
        <f t="array" ref="G27">IF(A27="","",IFERROR(_FV(B27,"Sector"),"N/A"))</f>
        <v/>
      </c>
    </row>
    <row r="28" spans="3:7" x14ac:dyDescent="0.2">
      <c r="C28" t="str" cm="1">
        <f t="array" ref="C28">IF(A28="","",_FV(B28,"Nombre"))</f>
        <v/>
      </c>
      <c r="D28" s="27" t="str" cm="1">
        <f t="array" ref="D28">IFERROR(_FV(B28,"Precio"),"")</f>
        <v/>
      </c>
      <c r="F28" t="str" cm="1">
        <f t="array" ref="F28">IF(A28="","",_FV(B28,"Tipo de instrumento",TRUE))</f>
        <v/>
      </c>
      <c r="G28" s="24" t="str" cm="1">
        <f t="array" ref="G28">IF(A28="","",IFERROR(_FV(B28,"Sector"),"N/A"))</f>
        <v/>
      </c>
    </row>
    <row r="29" spans="3:7" x14ac:dyDescent="0.2">
      <c r="C29" t="str" cm="1">
        <f t="array" ref="C29">IF(A29="","",_FV(B29,"Nombre"))</f>
        <v/>
      </c>
      <c r="D29" s="27" t="str" cm="1">
        <f t="array" ref="D29">IFERROR(_FV(B29,"Precio"),"")</f>
        <v/>
      </c>
      <c r="F29" t="str" cm="1">
        <f t="array" ref="F29">IF(A29="","",_FV(B29,"Tipo de instrumento",TRUE))</f>
        <v/>
      </c>
      <c r="G29" s="24" t="str" cm="1">
        <f t="array" ref="G29">IF(A29="","",IFERROR(_FV(B29,"Sector"),"N/A"))</f>
        <v/>
      </c>
    </row>
    <row r="30" spans="3:7" x14ac:dyDescent="0.2">
      <c r="C30" t="str" cm="1">
        <f t="array" ref="C30">IF(A30="","",_FV(B30,"Nombre"))</f>
        <v/>
      </c>
      <c r="D30" s="27" t="str" cm="1">
        <f t="array" ref="D30">IFERROR(_FV(B30,"Precio"),"")</f>
        <v/>
      </c>
      <c r="F30" t="str" cm="1">
        <f t="array" ref="F30">IF(A30="","",_FV(B30,"Tipo de instrumento",TRUE))</f>
        <v/>
      </c>
      <c r="G30" s="24" t="str" cm="1">
        <f t="array" ref="G30">IF(A30="","",IFERROR(_FV(B30,"Sector"),"N/A"))</f>
        <v/>
      </c>
    </row>
    <row r="31" spans="3:7" x14ac:dyDescent="0.2">
      <c r="C31" t="str" cm="1">
        <f t="array" ref="C31">IF(A31="","",_FV(B31,"Nombre"))</f>
        <v/>
      </c>
      <c r="D31" s="27" t="str" cm="1">
        <f t="array" ref="D31">IFERROR(_FV(B31,"Precio"),"")</f>
        <v/>
      </c>
      <c r="F31" t="str" cm="1">
        <f t="array" ref="F31">IF(A31="","",_FV(B31,"Tipo de instrumento",TRUE))</f>
        <v/>
      </c>
      <c r="G31" s="24" t="str" cm="1">
        <f t="array" ref="G31">IF(A31="","",IFERROR(_FV(B31,"Sector"),"N/A"))</f>
        <v/>
      </c>
    </row>
    <row r="32" spans="3:7" x14ac:dyDescent="0.2">
      <c r="C32" t="str" cm="1">
        <f t="array" ref="C32">IF(A32="","",_FV(B32,"Nombre"))</f>
        <v/>
      </c>
      <c r="D32" s="27" t="str" cm="1">
        <f t="array" ref="D32">IFERROR(_FV(B32,"Precio"),"")</f>
        <v/>
      </c>
      <c r="F32" t="str" cm="1">
        <f t="array" ref="F32">IF(A32="","",_FV(B32,"Tipo de instrumento",TRUE))</f>
        <v/>
      </c>
      <c r="G32" s="24" t="str" cm="1">
        <f t="array" ref="G32">IF(A32="","",IFERROR(_FV(B32,"Sector"),"N/A"))</f>
        <v/>
      </c>
    </row>
    <row r="33" spans="3:7" x14ac:dyDescent="0.2">
      <c r="C33" t="str" cm="1">
        <f t="array" ref="C33">IF(A33="","",_FV(B33,"Nombre"))</f>
        <v/>
      </c>
      <c r="D33" s="27" t="str" cm="1">
        <f t="array" ref="D33">IFERROR(_FV(B33,"Precio"),"")</f>
        <v/>
      </c>
      <c r="F33" t="str" cm="1">
        <f t="array" ref="F33">IF(A33="","",_FV(B33,"Tipo de instrumento",TRUE))</f>
        <v/>
      </c>
      <c r="G33" s="24" t="str" cm="1">
        <f t="array" ref="G33">IF(A33="","",IFERROR(_FV(B33,"Sector"),"N/A"))</f>
        <v/>
      </c>
    </row>
    <row r="34" spans="3:7" x14ac:dyDescent="0.2">
      <c r="C34" t="str" cm="1">
        <f t="array" ref="C34">IF(A34="","",_FV(B34,"Nombre"))</f>
        <v/>
      </c>
      <c r="D34" s="27" t="str" cm="1">
        <f t="array" ref="D34">IFERROR(_FV(B34,"Precio"),"")</f>
        <v/>
      </c>
      <c r="F34" t="str" cm="1">
        <f t="array" ref="F34">IF(A34="","",_FV(B34,"Tipo de instrumento",TRUE))</f>
        <v/>
      </c>
      <c r="G34" s="24" t="str" cm="1">
        <f t="array" ref="G34">IF(A34="","",IFERROR(_FV(B34,"Sector"),"N/A"))</f>
        <v/>
      </c>
    </row>
    <row r="35" spans="3:7" x14ac:dyDescent="0.2">
      <c r="C35" t="str" cm="1">
        <f t="array" ref="C35">IF(A35="","",_FV(B35,"Nombre"))</f>
        <v/>
      </c>
      <c r="D35" s="27" t="str" cm="1">
        <f t="array" ref="D35">IFERROR(_FV(B35,"Precio"),"")</f>
        <v/>
      </c>
      <c r="F35" t="str" cm="1">
        <f t="array" ref="F35">IF(A35="","",_FV(B35,"Tipo de instrumento",TRUE))</f>
        <v/>
      </c>
      <c r="G35" s="24" t="str" cm="1">
        <f t="array" ref="G35">IF(A35="","",IFERROR(_FV(B35,"Sector"),"N/A"))</f>
        <v/>
      </c>
    </row>
    <row r="36" spans="3:7" x14ac:dyDescent="0.2">
      <c r="C36" t="str" cm="1">
        <f t="array" ref="C36">IF(A36="","",_FV(B36,"Nombre"))</f>
        <v/>
      </c>
      <c r="D36" s="27" t="str" cm="1">
        <f t="array" ref="D36">IFERROR(_FV(B36,"Precio"),"")</f>
        <v/>
      </c>
      <c r="F36" t="str" cm="1">
        <f t="array" ref="F36">IF(A36="","",_FV(B36,"Tipo de instrumento",TRUE))</f>
        <v/>
      </c>
      <c r="G36" s="24" t="str" cm="1">
        <f t="array" ref="G36">IF(A36="","",IFERROR(_FV(B36,"Sector"),"N/A"))</f>
        <v/>
      </c>
    </row>
    <row r="37" spans="3:7" x14ac:dyDescent="0.2">
      <c r="C37" t="str" cm="1">
        <f t="array" ref="C37">IF(A37="","",_FV(B37,"Nombre"))</f>
        <v/>
      </c>
      <c r="D37" s="27" t="str" cm="1">
        <f t="array" ref="D37">IFERROR(_FV(B37,"Precio"),"")</f>
        <v/>
      </c>
      <c r="F37" t="str" cm="1">
        <f t="array" ref="F37">IF(A37="","",_FV(B37,"Tipo de instrumento",TRUE))</f>
        <v/>
      </c>
      <c r="G37" s="24" t="str" cm="1">
        <f t="array" ref="G37">IF(A37="","",IFERROR(_FV(B37,"Sector"),"N/A"))</f>
        <v/>
      </c>
    </row>
    <row r="38" spans="3:7" x14ac:dyDescent="0.2">
      <c r="C38" t="str" cm="1">
        <f t="array" ref="C38">IF(A38="","",_FV(B38,"Nombre"))</f>
        <v/>
      </c>
      <c r="D38" s="27" t="str" cm="1">
        <f t="array" ref="D38">IFERROR(_FV(B38,"Precio"),"")</f>
        <v/>
      </c>
      <c r="F38" t="str" cm="1">
        <f t="array" ref="F38">IF(A38="","",_FV(B38,"Tipo de instrumento",TRUE))</f>
        <v/>
      </c>
      <c r="G38" s="24" t="str" cm="1">
        <f t="array" ref="G38">IF(A38="","",IFERROR(_FV(B38,"Sector"),"N/A"))</f>
        <v/>
      </c>
    </row>
    <row r="39" spans="3:7" x14ac:dyDescent="0.2">
      <c r="C39" t="str" cm="1">
        <f t="array" ref="C39">IF(A39="","",_FV(B39,"Nombre"))</f>
        <v/>
      </c>
      <c r="D39" s="27" t="str" cm="1">
        <f t="array" ref="D39">IFERROR(_FV(B39,"Precio"),"")</f>
        <v/>
      </c>
      <c r="F39" t="str" cm="1">
        <f t="array" ref="F39">IF(A39="","",_FV(B39,"Tipo de instrumento",TRUE))</f>
        <v/>
      </c>
      <c r="G39" s="24" t="str" cm="1">
        <f t="array" ref="G39">IF(A39="","",IFERROR(_FV(B39,"Sector"),"N/A"))</f>
        <v/>
      </c>
    </row>
    <row r="40" spans="3:7" x14ac:dyDescent="0.2">
      <c r="C40" t="str" cm="1">
        <f t="array" ref="C40">IF(A40="","",_FV(B40,"Nombre"))</f>
        <v/>
      </c>
      <c r="D40" s="27" t="str" cm="1">
        <f t="array" ref="D40">IFERROR(_FV(B40,"Precio"),"")</f>
        <v/>
      </c>
      <c r="F40" t="str" cm="1">
        <f t="array" ref="F40">IF(A40="","",_FV(B40,"Tipo de instrumento",TRUE))</f>
        <v/>
      </c>
      <c r="G40" s="24" t="str" cm="1">
        <f t="array" ref="G40">IF(A40="","",IFERROR(_FV(B40,"Sector"),"N/A"))</f>
        <v/>
      </c>
    </row>
    <row r="41" spans="3:7" x14ac:dyDescent="0.2">
      <c r="C41" t="str" cm="1">
        <f t="array" ref="C41">IF(A41="","",_FV(B41,"Nombre"))</f>
        <v/>
      </c>
      <c r="D41" s="27" t="str" cm="1">
        <f t="array" ref="D41">IFERROR(_FV(B41,"Precio"),"")</f>
        <v/>
      </c>
      <c r="F41" t="str" cm="1">
        <f t="array" ref="F41">IF(A41="","",_FV(B41,"Tipo de instrumento",TRUE))</f>
        <v/>
      </c>
      <c r="G41" s="24" t="str" cm="1">
        <f t="array" ref="G41">IF(A41="","",IFERROR(_FV(B41,"Sector"),"N/A"))</f>
        <v/>
      </c>
    </row>
    <row r="42" spans="3:7" x14ac:dyDescent="0.2">
      <c r="C42" t="str" cm="1">
        <f t="array" ref="C42">IF(A42="","",_FV(B42,"Nombre"))</f>
        <v/>
      </c>
      <c r="D42" s="27" t="str" cm="1">
        <f t="array" ref="D42">IFERROR(_FV(B42,"Precio"),"")</f>
        <v/>
      </c>
      <c r="F42" t="str" cm="1">
        <f t="array" ref="F42">IF(A42="","",_FV(B42,"Tipo de instrumento",TRUE))</f>
        <v/>
      </c>
      <c r="G42" s="24" t="str" cm="1">
        <f t="array" ref="G42">IF(A42="","",IFERROR(_FV(B42,"Sector"),"N/A"))</f>
        <v/>
      </c>
    </row>
    <row r="43" spans="3:7" x14ac:dyDescent="0.2">
      <c r="C43" t="str" cm="1">
        <f t="array" ref="C43">IF(A43="","",_FV(B43,"Nombre"))</f>
        <v/>
      </c>
      <c r="D43" s="27" t="str" cm="1">
        <f t="array" ref="D43">IFERROR(_FV(B43,"Precio"),"")</f>
        <v/>
      </c>
      <c r="F43" t="str" cm="1">
        <f t="array" ref="F43">IF(A43="","",_FV(B43,"Tipo de instrumento",TRUE))</f>
        <v/>
      </c>
      <c r="G43" s="24" t="str" cm="1">
        <f t="array" ref="G43">IF(A43="","",IFERROR(_FV(B43,"Sector"),"N/A"))</f>
        <v/>
      </c>
    </row>
    <row r="44" spans="3:7" x14ac:dyDescent="0.2">
      <c r="C44" t="str" cm="1">
        <f t="array" ref="C44">IF(A44="","",_FV(B44,"Nombre"))</f>
        <v/>
      </c>
      <c r="D44" s="27" t="str" cm="1">
        <f t="array" ref="D44">IFERROR(_FV(B44,"Precio"),"")</f>
        <v/>
      </c>
      <c r="F44" t="str" cm="1">
        <f t="array" ref="F44">IF(A44="","",_FV(B44,"Tipo de instrumento",TRUE))</f>
        <v/>
      </c>
      <c r="G44" s="24" t="str" cm="1">
        <f t="array" ref="G44">IF(A44="","",IFERROR(_FV(B44,"Sector"),"N/A"))</f>
        <v/>
      </c>
    </row>
    <row r="45" spans="3:7" x14ac:dyDescent="0.2">
      <c r="C45" t="str" cm="1">
        <f t="array" ref="C45">IF(A45="","",_FV(B45,"Nombre"))</f>
        <v/>
      </c>
      <c r="D45" s="27" t="str" cm="1">
        <f t="array" ref="D45">IFERROR(_FV(B45,"Precio"),"")</f>
        <v/>
      </c>
      <c r="F45" t="str" cm="1">
        <f t="array" ref="F45">IF(A45="","",_FV(B45,"Tipo de instrumento",TRUE))</f>
        <v/>
      </c>
      <c r="G45" s="24" t="str" cm="1">
        <f t="array" ref="G45">IF(A45="","",IFERROR(_FV(B45,"Sector"),"N/A"))</f>
        <v/>
      </c>
    </row>
    <row r="46" spans="3:7" x14ac:dyDescent="0.2">
      <c r="C46" t="str" cm="1">
        <f t="array" ref="C46">IF(A46="","",_FV(B46,"Nombre"))</f>
        <v/>
      </c>
      <c r="D46" s="27" t="str" cm="1">
        <f t="array" ref="D46">IFERROR(_FV(B46,"Precio"),"")</f>
        <v/>
      </c>
      <c r="F46" t="str" cm="1">
        <f t="array" ref="F46">IF(A46="","",_FV(B46,"Tipo de instrumento",TRUE))</f>
        <v/>
      </c>
      <c r="G46" s="24" t="str" cm="1">
        <f t="array" ref="G46">IF(A46="","",IFERROR(_FV(B46,"Sector"),"N/A"))</f>
        <v/>
      </c>
    </row>
    <row r="47" spans="3:7" x14ac:dyDescent="0.2">
      <c r="C47" t="str" cm="1">
        <f t="array" ref="C47">IF(A47="","",_FV(B47,"Nombre"))</f>
        <v/>
      </c>
      <c r="D47" s="27" t="str" cm="1">
        <f t="array" ref="D47">IFERROR(_FV(B47,"Precio"),"")</f>
        <v/>
      </c>
      <c r="F47" t="str" cm="1">
        <f t="array" ref="F47">IF(A47="","",_FV(B47,"Tipo de instrumento",TRUE))</f>
        <v/>
      </c>
      <c r="G47" s="24" t="str" cm="1">
        <f t="array" ref="G47">IF(A47="","",IFERROR(_FV(B47,"Sector"),"N/A"))</f>
        <v/>
      </c>
    </row>
    <row r="48" spans="3:7" x14ac:dyDescent="0.2">
      <c r="C48" t="str" cm="1">
        <f t="array" ref="C48">IF(A48="","",_FV(B48,"Nombre"))</f>
        <v/>
      </c>
      <c r="D48" s="27" t="str" cm="1">
        <f t="array" ref="D48">IFERROR(_FV(B48,"Precio"),"")</f>
        <v/>
      </c>
      <c r="F48" t="str" cm="1">
        <f t="array" ref="F48">IF(A48="","",_FV(B48,"Tipo de instrumento",TRUE))</f>
        <v/>
      </c>
      <c r="G48" s="24" t="str" cm="1">
        <f t="array" ref="G48">IF(A48="","",IFERROR(_FV(B48,"Sector"),"N/A"))</f>
        <v/>
      </c>
    </row>
    <row r="49" spans="3:7" x14ac:dyDescent="0.2">
      <c r="C49" t="str" cm="1">
        <f t="array" ref="C49">IF(A49="","",_FV(B49,"Nombre"))</f>
        <v/>
      </c>
      <c r="D49" s="27" t="str" cm="1">
        <f t="array" ref="D49">IFERROR(_FV(B49,"Precio"),"")</f>
        <v/>
      </c>
      <c r="F49" t="str" cm="1">
        <f t="array" ref="F49">IF(A49="","",_FV(B49,"Tipo de instrumento",TRUE))</f>
        <v/>
      </c>
      <c r="G49" s="24" t="str" cm="1">
        <f t="array" ref="G49">IF(A49="","",IFERROR(_FV(B49,"Sector"),"N/A"))</f>
        <v/>
      </c>
    </row>
    <row r="50" spans="3:7" x14ac:dyDescent="0.2">
      <c r="C50" t="str" cm="1">
        <f t="array" ref="C50">IF(A50="","",_FV(B50,"Nombre"))</f>
        <v/>
      </c>
      <c r="D50" s="27" t="str" cm="1">
        <f t="array" ref="D50">IFERROR(_FV(B50,"Precio"),"")</f>
        <v/>
      </c>
      <c r="F50" t="str" cm="1">
        <f t="array" ref="F50">IF(A50="","",_FV(B50,"Tipo de instrumento",TRUE))</f>
        <v/>
      </c>
      <c r="G50" s="24" t="str" cm="1">
        <f t="array" ref="G50">IF(A50="","",IFERROR(_FV(B50,"Sector"),"N/A"))</f>
        <v/>
      </c>
    </row>
    <row r="51" spans="3:7" x14ac:dyDescent="0.2">
      <c r="C51" t="str" cm="1">
        <f t="array" ref="C51">IF(A51="","",_FV(B51,"Nombre"))</f>
        <v/>
      </c>
      <c r="D51" s="27" t="str" cm="1">
        <f t="array" ref="D51">IFERROR(_FV(B51,"Precio"),"")</f>
        <v/>
      </c>
      <c r="F51" t="str" cm="1">
        <f t="array" ref="F51">IF(A51="","",_FV(B51,"Tipo de instrumento",TRUE))</f>
        <v/>
      </c>
      <c r="G51" s="24" t="str" cm="1">
        <f t="array" ref="G51">IF(A51="","",IFERROR(_FV(B51,"Sector"),"N/A"))</f>
        <v/>
      </c>
    </row>
    <row r="52" spans="3:7" x14ac:dyDescent="0.2">
      <c r="C52" t="str" cm="1">
        <f t="array" ref="C52">IF(A52="","",_FV(B52,"Nombre"))</f>
        <v/>
      </c>
      <c r="D52" s="27" t="str" cm="1">
        <f t="array" ref="D52">IFERROR(_FV(B52,"Precio"),"")</f>
        <v/>
      </c>
      <c r="F52" t="str" cm="1">
        <f t="array" ref="F52">IF(A52="","",_FV(B52,"Tipo de instrumento",TRUE))</f>
        <v/>
      </c>
      <c r="G52" s="24" t="str" cm="1">
        <f t="array" ref="G52">IF(A52="","",IFERROR(_FV(B52,"Sector"),"N/A"))</f>
        <v/>
      </c>
    </row>
    <row r="53" spans="3:7" x14ac:dyDescent="0.2">
      <c r="C53" t="str" cm="1">
        <f t="array" ref="C53">IF(A53="","",_FV(B53,"Nombre"))</f>
        <v/>
      </c>
      <c r="D53" s="27" t="str" cm="1">
        <f t="array" ref="D53">IFERROR(_FV(B53,"Precio"),"")</f>
        <v/>
      </c>
      <c r="F53" t="str" cm="1">
        <f t="array" ref="F53">IF(A53="","",_FV(B53,"Tipo de instrumento",TRUE))</f>
        <v/>
      </c>
      <c r="G53" s="24" t="str" cm="1">
        <f t="array" ref="G53">IF(A53="","",IFERROR(_FV(B53,"Sector"),"N/A"))</f>
        <v/>
      </c>
    </row>
    <row r="54" spans="3:7" x14ac:dyDescent="0.2">
      <c r="C54" t="str" cm="1">
        <f t="array" ref="C54">IF(A54="","",_FV(B54,"Nombre"))</f>
        <v/>
      </c>
      <c r="D54" s="27" t="str" cm="1">
        <f t="array" ref="D54">IFERROR(_FV(B54,"Precio"),"")</f>
        <v/>
      </c>
      <c r="F54" t="str" cm="1">
        <f t="array" ref="F54">IF(A54="","",_FV(B54,"Tipo de instrumento",TRUE))</f>
        <v/>
      </c>
      <c r="G54" s="24" t="str" cm="1">
        <f t="array" ref="G54">IF(A54="","",IFERROR(_FV(B54,"Sector"),"N/A"))</f>
        <v/>
      </c>
    </row>
    <row r="55" spans="3:7" x14ac:dyDescent="0.2">
      <c r="C55" t="str" cm="1">
        <f t="array" ref="C55">IF(A55="","",_FV(B55,"Nombre"))</f>
        <v/>
      </c>
      <c r="D55" s="27" t="str" cm="1">
        <f t="array" ref="D55">IFERROR(_FV(B55,"Precio"),"")</f>
        <v/>
      </c>
      <c r="F55" t="str" cm="1">
        <f t="array" ref="F55">IF(A55="","",_FV(B55,"Tipo de instrumento",TRUE))</f>
        <v/>
      </c>
      <c r="G55" s="24" t="str" cm="1">
        <f t="array" ref="G55">IF(A55="","",IFERROR(_FV(B55,"Sector"),"N/A"))</f>
        <v/>
      </c>
    </row>
    <row r="56" spans="3:7" x14ac:dyDescent="0.2">
      <c r="C56" t="str" cm="1">
        <f t="array" ref="C56">IF(A56="","",_FV(B56,"Nombre"))</f>
        <v/>
      </c>
      <c r="D56" s="27" t="str" cm="1">
        <f t="array" ref="D56">IFERROR(_FV(B56,"Precio"),"")</f>
        <v/>
      </c>
      <c r="F56" t="str" cm="1">
        <f t="array" ref="F56">IF(A56="","",_FV(B56,"Tipo de instrumento",TRUE))</f>
        <v/>
      </c>
      <c r="G56" s="24" t="str" cm="1">
        <f t="array" ref="G56">IF(A56="","",IFERROR(_FV(B56,"Sector"),"N/A"))</f>
        <v/>
      </c>
    </row>
    <row r="57" spans="3:7" x14ac:dyDescent="0.2">
      <c r="C57" t="str" cm="1">
        <f t="array" ref="C57">IF(A57="","",_FV(B57,"Nombre"))</f>
        <v/>
      </c>
      <c r="D57" s="27" t="str" cm="1">
        <f t="array" ref="D57">IFERROR(_FV(B57,"Precio"),"")</f>
        <v/>
      </c>
      <c r="F57" t="str" cm="1">
        <f t="array" ref="F57">IF(A57="","",_FV(B57,"Tipo de instrumento",TRUE))</f>
        <v/>
      </c>
      <c r="G57" s="24" t="str" cm="1">
        <f t="array" ref="G57">IF(A57="","",IFERROR(_FV(B57,"Sector"),"N/A"))</f>
        <v/>
      </c>
    </row>
    <row r="58" spans="3:7" x14ac:dyDescent="0.2">
      <c r="C58" t="str" cm="1">
        <f t="array" ref="C58">IF(A58="","",_FV(B58,"Nombre"))</f>
        <v/>
      </c>
      <c r="D58" s="27" t="str" cm="1">
        <f t="array" ref="D58">IFERROR(_FV(B58,"Precio"),"")</f>
        <v/>
      </c>
      <c r="F58" t="str" cm="1">
        <f t="array" ref="F58">IF(A58="","",_FV(B58,"Tipo de instrumento",TRUE))</f>
        <v/>
      </c>
      <c r="G58" s="24" t="str" cm="1">
        <f t="array" ref="G58">IF(A58="","",IFERROR(_FV(B58,"Sector"),"N/A"))</f>
        <v/>
      </c>
    </row>
    <row r="59" spans="3:7" x14ac:dyDescent="0.2">
      <c r="C59" t="str" cm="1">
        <f t="array" ref="C59">IF(A59="","",_FV(B59,"Nombre"))</f>
        <v/>
      </c>
      <c r="D59" s="27" t="str" cm="1">
        <f t="array" ref="D59">IFERROR(_FV(B59,"Precio"),"")</f>
        <v/>
      </c>
      <c r="F59" t="str" cm="1">
        <f t="array" ref="F59">IF(A59="","",_FV(B59,"Tipo de instrumento",TRUE))</f>
        <v/>
      </c>
      <c r="G59" s="24" t="str" cm="1">
        <f t="array" ref="G59">IF(A59="","",IFERROR(_FV(B59,"Sector"),"N/A"))</f>
        <v/>
      </c>
    </row>
    <row r="60" spans="3:7" x14ac:dyDescent="0.2">
      <c r="C60" t="str" cm="1">
        <f t="array" ref="C60">IF(A60="","",_FV(B60,"Nombre"))</f>
        <v/>
      </c>
      <c r="D60" s="27" t="str" cm="1">
        <f t="array" ref="D60">IFERROR(_FV(B60,"Precio"),"")</f>
        <v/>
      </c>
      <c r="F60" t="str" cm="1">
        <f t="array" ref="F60">IF(A60="","",_FV(B60,"Tipo de instrumento",TRUE))</f>
        <v/>
      </c>
      <c r="G60" s="24" t="str" cm="1">
        <f t="array" ref="G60">IF(A60="","",IFERROR(_FV(B60,"Sector"),"N/A"))</f>
        <v/>
      </c>
    </row>
    <row r="61" spans="3:7" x14ac:dyDescent="0.2">
      <c r="C61" t="str" cm="1">
        <f t="array" ref="C61">IF(A61="","",_FV(B61,"Nombre"))</f>
        <v/>
      </c>
      <c r="D61" s="27" t="str" cm="1">
        <f t="array" ref="D61">IFERROR(_FV(B61,"Precio"),"")</f>
        <v/>
      </c>
      <c r="F61" t="str" cm="1">
        <f t="array" ref="F61">IF(A61="","",_FV(B61,"Tipo de instrumento",TRUE))</f>
        <v/>
      </c>
      <c r="G61" s="24" t="str" cm="1">
        <f t="array" ref="G61">IF(A61="","",IFERROR(_FV(B61,"Sector"),"N/A"))</f>
        <v/>
      </c>
    </row>
    <row r="62" spans="3:7" x14ac:dyDescent="0.2">
      <c r="C62" t="str" cm="1">
        <f t="array" ref="C62">IF(A62="","",_FV(B62,"Nombre"))</f>
        <v/>
      </c>
      <c r="D62" s="27" t="str" cm="1">
        <f t="array" ref="D62">IFERROR(_FV(B62,"Precio"),"")</f>
        <v/>
      </c>
      <c r="F62" t="str" cm="1">
        <f t="array" ref="F62">IF(A62="","",_FV(B62,"Tipo de instrumento",TRUE))</f>
        <v/>
      </c>
      <c r="G62" s="24" t="str" cm="1">
        <f t="array" ref="G62">IF(A62="","",IFERROR(_FV(B62,"Sector"),"N/A"))</f>
        <v/>
      </c>
    </row>
    <row r="63" spans="3:7" x14ac:dyDescent="0.2">
      <c r="C63" t="str" cm="1">
        <f t="array" ref="C63">IF(A63="","",_FV(B63,"Nombre"))</f>
        <v/>
      </c>
      <c r="D63" s="27" t="str" cm="1">
        <f t="array" ref="D63">IFERROR(_FV(B63,"Precio"),"")</f>
        <v/>
      </c>
      <c r="F63" t="str" cm="1">
        <f t="array" ref="F63">IF(A63="","",_FV(B63,"Tipo de instrumento",TRUE))</f>
        <v/>
      </c>
      <c r="G63" s="24" t="str" cm="1">
        <f t="array" ref="G63">IF(A63="","",IFERROR(_FV(B63,"Sector"),"N/A"))</f>
        <v/>
      </c>
    </row>
    <row r="64" spans="3:7" x14ac:dyDescent="0.2">
      <c r="C64" t="str" cm="1">
        <f t="array" ref="C64">IF(A64="","",_FV(B64,"Nombre"))</f>
        <v/>
      </c>
      <c r="D64" s="27" t="str" cm="1">
        <f t="array" ref="D64">IFERROR(_FV(B64,"Precio"),"")</f>
        <v/>
      </c>
      <c r="F64" t="str" cm="1">
        <f t="array" ref="F64">IF(A64="","",_FV(B64,"Tipo de instrumento",TRUE))</f>
        <v/>
      </c>
      <c r="G64" s="24" t="str" cm="1">
        <f t="array" ref="G64">IF(A64="","",IFERROR(_FV(B64,"Sector"),"N/A"))</f>
        <v/>
      </c>
    </row>
    <row r="65" spans="3:7" x14ac:dyDescent="0.2">
      <c r="C65" t="str" cm="1">
        <f t="array" ref="C65">IF(A65="","",_FV(B65,"Nombre"))</f>
        <v/>
      </c>
      <c r="D65" s="27" t="str" cm="1">
        <f t="array" ref="D65">IFERROR(_FV(B65,"Precio"),"")</f>
        <v/>
      </c>
      <c r="F65" t="str" cm="1">
        <f t="array" ref="F65">IF(A65="","",_FV(B65,"Tipo de instrumento",TRUE))</f>
        <v/>
      </c>
      <c r="G65" s="24" t="str" cm="1">
        <f t="array" ref="G65">IF(A65="","",IFERROR(_FV(B65,"Sector"),"N/A"))</f>
        <v/>
      </c>
    </row>
    <row r="66" spans="3:7" x14ac:dyDescent="0.2">
      <c r="C66" t="str" cm="1">
        <f t="array" ref="C66">IF(A66="","",_FV(B66,"Nombre"))</f>
        <v/>
      </c>
      <c r="D66" s="27" t="str" cm="1">
        <f t="array" ref="D66">IFERROR(_FV(B66,"Precio"),"")</f>
        <v/>
      </c>
      <c r="F66" t="str" cm="1">
        <f t="array" ref="F66">IF(A66="","",_FV(B66,"Tipo de instrumento",TRUE))</f>
        <v/>
      </c>
      <c r="G66" s="24" t="str" cm="1">
        <f t="array" ref="G66">IF(A66="","",IFERROR(_FV(B66,"Sector"),"N/A"))</f>
        <v/>
      </c>
    </row>
    <row r="67" spans="3:7" x14ac:dyDescent="0.2">
      <c r="C67" t="str" cm="1">
        <f t="array" ref="C67">IF(A67="","",_FV(B67,"Nombre"))</f>
        <v/>
      </c>
      <c r="D67" s="27" t="str" cm="1">
        <f t="array" ref="D67">IFERROR(_FV(B67,"Precio"),"")</f>
        <v/>
      </c>
      <c r="F67" t="str" cm="1">
        <f t="array" ref="F67">IF(A67="","",_FV(B67,"Tipo de instrumento",TRUE))</f>
        <v/>
      </c>
      <c r="G67" s="24" t="str" cm="1">
        <f t="array" ref="G67">IF(A67="","",IFERROR(_FV(B67,"Sector"),"N/A"))</f>
        <v/>
      </c>
    </row>
    <row r="68" spans="3:7" x14ac:dyDescent="0.2">
      <c r="C68" t="str" cm="1">
        <f t="array" ref="C68">IF(A68="","",_FV(B68,"Nombre"))</f>
        <v/>
      </c>
      <c r="D68" s="27" t="str" cm="1">
        <f t="array" ref="D68">IFERROR(_FV(B68,"Precio"),"")</f>
        <v/>
      </c>
      <c r="F68" t="str" cm="1">
        <f t="array" ref="F68">IF(A68="","",_FV(B68,"Tipo de instrumento",TRUE))</f>
        <v/>
      </c>
      <c r="G68" s="24" t="str" cm="1">
        <f t="array" ref="G68">IF(A68="","",IFERROR(_FV(B68,"Sector"),"N/A"))</f>
        <v/>
      </c>
    </row>
    <row r="69" spans="3:7" x14ac:dyDescent="0.2">
      <c r="C69" t="str" cm="1">
        <f t="array" ref="C69">IF(A69="","",_FV(B69,"Nombre"))</f>
        <v/>
      </c>
      <c r="D69" s="27" t="str" cm="1">
        <f t="array" ref="D69">IFERROR(_FV(B69,"Precio"),"")</f>
        <v/>
      </c>
      <c r="F69" t="str" cm="1">
        <f t="array" ref="F69">IF(A69="","",_FV(B69,"Tipo de instrumento",TRUE))</f>
        <v/>
      </c>
      <c r="G69" s="24" t="str" cm="1">
        <f t="array" ref="G69">IF(A69="","",IFERROR(_FV(B69,"Sector"),"N/A"))</f>
        <v/>
      </c>
    </row>
    <row r="70" spans="3:7" x14ac:dyDescent="0.2">
      <c r="C70" t="str" cm="1">
        <f t="array" ref="C70">IF(A70="","",_FV(B70,"Nombre"))</f>
        <v/>
      </c>
      <c r="D70" s="27" t="str" cm="1">
        <f t="array" ref="D70">IFERROR(_FV(B70,"Precio"),"")</f>
        <v/>
      </c>
      <c r="F70" t="str" cm="1">
        <f t="array" ref="F70">IF(A70="","",_FV(B70,"Tipo de instrumento",TRUE))</f>
        <v/>
      </c>
      <c r="G70" s="24" t="str" cm="1">
        <f t="array" ref="G70">IF(A70="","",IFERROR(_FV(B70,"Sector"),"N/A"))</f>
        <v/>
      </c>
    </row>
    <row r="71" spans="3:7" x14ac:dyDescent="0.2">
      <c r="C71" t="str" cm="1">
        <f t="array" ref="C71">IF(A71="","",_FV(B71,"Nombre"))</f>
        <v/>
      </c>
      <c r="D71" s="27" t="str" cm="1">
        <f t="array" ref="D71">IFERROR(_FV(B71,"Precio"),"")</f>
        <v/>
      </c>
      <c r="F71" t="str" cm="1">
        <f t="array" ref="F71">IF(A71="","",_FV(B71,"Tipo de instrumento",TRUE))</f>
        <v/>
      </c>
      <c r="G71" s="24" t="str" cm="1">
        <f t="array" ref="G71">IF(A71="","",IFERROR(_FV(B71,"Sector"),"N/A"))</f>
        <v/>
      </c>
    </row>
    <row r="72" spans="3:7" x14ac:dyDescent="0.2">
      <c r="C72" t="str" cm="1">
        <f t="array" ref="C72">IF(A72="","",_FV(B72,"Nombre"))</f>
        <v/>
      </c>
      <c r="D72" s="27" t="str" cm="1">
        <f t="array" ref="D72">IFERROR(_FV(B72,"Precio"),"")</f>
        <v/>
      </c>
      <c r="F72" t="str" cm="1">
        <f t="array" ref="F72">IF(A72="","",_FV(B72,"Tipo de instrumento",TRUE))</f>
        <v/>
      </c>
      <c r="G72" s="24" t="str" cm="1">
        <f t="array" ref="G72">IF(A72="","",IFERROR(_FV(B72,"Sector"),"N/A"))</f>
        <v/>
      </c>
    </row>
    <row r="73" spans="3:7" x14ac:dyDescent="0.2">
      <c r="C73" t="str" cm="1">
        <f t="array" ref="C73">IF(A73="","",_FV(B73,"Nombre"))</f>
        <v/>
      </c>
      <c r="D73" s="27" t="str" cm="1">
        <f t="array" ref="D73">IFERROR(_FV(B73,"Precio"),"")</f>
        <v/>
      </c>
      <c r="F73" t="str" cm="1">
        <f t="array" ref="F73">IF(A73="","",_FV(B73,"Tipo de instrumento",TRUE))</f>
        <v/>
      </c>
      <c r="G73" s="24" t="str" cm="1">
        <f t="array" ref="G73">IF(A73="","",IFERROR(_FV(B73,"Sector"),"N/A"))</f>
        <v/>
      </c>
    </row>
    <row r="74" spans="3:7" x14ac:dyDescent="0.2">
      <c r="C74" t="str" cm="1">
        <f t="array" ref="C74">IF(A74="","",_FV(B74,"Nombre"))</f>
        <v/>
      </c>
      <c r="D74" s="27" t="str" cm="1">
        <f t="array" ref="D74">IFERROR(_FV(B74,"Precio"),"")</f>
        <v/>
      </c>
      <c r="F74" t="str" cm="1">
        <f t="array" ref="F74">IF(A74="","",_FV(B74,"Tipo de instrumento",TRUE))</f>
        <v/>
      </c>
      <c r="G74" s="24" t="str" cm="1">
        <f t="array" ref="G74">IF(A74="","",IFERROR(_FV(B74,"Sector"),"N/A"))</f>
        <v/>
      </c>
    </row>
    <row r="75" spans="3:7" x14ac:dyDescent="0.2">
      <c r="C75" t="str" cm="1">
        <f t="array" ref="C75">IF(A75="","",_FV(B75,"Nombre"))</f>
        <v/>
      </c>
      <c r="D75" s="27" t="str" cm="1">
        <f t="array" ref="D75">IFERROR(_FV(B75,"Precio"),"")</f>
        <v/>
      </c>
      <c r="F75" t="str" cm="1">
        <f t="array" ref="F75">IF(A75="","",_FV(B75,"Tipo de instrumento",TRUE))</f>
        <v/>
      </c>
      <c r="G75" s="24" t="str" cm="1">
        <f t="array" ref="G75">IF(A75="","",IFERROR(_FV(B75,"Sector"),"N/A"))</f>
        <v/>
      </c>
    </row>
    <row r="76" spans="3:7" x14ac:dyDescent="0.2">
      <c r="C76" t="str" cm="1">
        <f t="array" ref="C76">IF(A76="","",_FV(B76,"Nombre"))</f>
        <v/>
      </c>
      <c r="D76" s="27" t="str" cm="1">
        <f t="array" ref="D76">IFERROR(_FV(B76,"Precio"),"")</f>
        <v/>
      </c>
      <c r="F76" t="str" cm="1">
        <f t="array" ref="F76">IF(A76="","",_FV(B76,"Tipo de instrumento",TRUE))</f>
        <v/>
      </c>
      <c r="G76" s="24" t="str" cm="1">
        <f t="array" ref="G76">IF(A76="","",IFERROR(_FV(B76,"Sector"),"N/A"))</f>
        <v/>
      </c>
    </row>
    <row r="77" spans="3:7" x14ac:dyDescent="0.2">
      <c r="C77" t="str" cm="1">
        <f t="array" ref="C77">IF(A77="","",_FV(B77,"Nombre"))</f>
        <v/>
      </c>
      <c r="D77" s="27" t="str" cm="1">
        <f t="array" ref="D77">IFERROR(_FV(B77,"Precio"),"")</f>
        <v/>
      </c>
      <c r="F77" t="str" cm="1">
        <f t="array" ref="F77">IF(A77="","",_FV(B77,"Tipo de instrumento",TRUE))</f>
        <v/>
      </c>
      <c r="G77" s="24" t="str" cm="1">
        <f t="array" ref="G77">IF(A77="","",IFERROR(_FV(B77,"Sector"),"N/A"))</f>
        <v/>
      </c>
    </row>
    <row r="78" spans="3:7" x14ac:dyDescent="0.2">
      <c r="C78" t="str" cm="1">
        <f t="array" ref="C78">IF(A78="","",_FV(B78,"Nombre"))</f>
        <v/>
      </c>
      <c r="D78" s="27" t="str" cm="1">
        <f t="array" ref="D78">IFERROR(_FV(B78,"Precio"),"")</f>
        <v/>
      </c>
      <c r="F78" t="str" cm="1">
        <f t="array" ref="F78">IF(A78="","",_FV(B78,"Tipo de instrumento",TRUE))</f>
        <v/>
      </c>
      <c r="G78" s="24" t="str" cm="1">
        <f t="array" ref="G78">IF(A78="","",IFERROR(_FV(B78,"Sector"),"N/A"))</f>
        <v/>
      </c>
    </row>
    <row r="79" spans="3:7" x14ac:dyDescent="0.2">
      <c r="C79" t="str" cm="1">
        <f t="array" ref="C79">IF(A79="","",_FV(B79,"Nombre"))</f>
        <v/>
      </c>
      <c r="D79" s="27" t="str" cm="1">
        <f t="array" ref="D79">IFERROR(_FV(B79,"Precio"),"")</f>
        <v/>
      </c>
      <c r="F79" t="str" cm="1">
        <f t="array" ref="F79">IF(A79="","",_FV(B79,"Tipo de instrumento",TRUE))</f>
        <v/>
      </c>
      <c r="G79" s="24" t="str" cm="1">
        <f t="array" ref="G79">IF(A79="","",IFERROR(_FV(B79,"Sector"),"N/A"))</f>
        <v/>
      </c>
    </row>
    <row r="80" spans="3:7" x14ac:dyDescent="0.2">
      <c r="C80" t="str" cm="1">
        <f t="array" ref="C80">IF(A80="","",_FV(B80,"Nombre"))</f>
        <v/>
      </c>
      <c r="D80" s="27" t="str" cm="1">
        <f t="array" ref="D80">IFERROR(_FV(B80,"Precio"),"")</f>
        <v/>
      </c>
      <c r="F80" t="str" cm="1">
        <f t="array" ref="F80">IF(A80="","",_FV(B80,"Tipo de instrumento",TRUE))</f>
        <v/>
      </c>
      <c r="G80" s="24" t="str" cm="1">
        <f t="array" ref="G80">IF(A80="","",IFERROR(_FV(B80,"Sector"),"N/A"))</f>
        <v/>
      </c>
    </row>
    <row r="81" spans="3:7" x14ac:dyDescent="0.2">
      <c r="C81" t="str" cm="1">
        <f t="array" ref="C81">IF(A81="","",_FV(B81,"Nombre"))</f>
        <v/>
      </c>
      <c r="D81" s="27" t="str" cm="1">
        <f t="array" ref="D81">IFERROR(_FV(B81,"Precio"),"")</f>
        <v/>
      </c>
      <c r="F81" t="str" cm="1">
        <f t="array" ref="F81">IF(A81="","",_FV(B81,"Tipo de instrumento",TRUE))</f>
        <v/>
      </c>
      <c r="G81" s="24" t="str" cm="1">
        <f t="array" ref="G81">IF(A81="","",IFERROR(_FV(B81,"Sector"),"N/A"))</f>
        <v/>
      </c>
    </row>
    <row r="82" spans="3:7" x14ac:dyDescent="0.2">
      <c r="C82" t="str" cm="1">
        <f t="array" ref="C82">IF(A82="","",_FV(B82,"Nombre"))</f>
        <v/>
      </c>
      <c r="D82" s="27" t="str" cm="1">
        <f t="array" ref="D82">IFERROR(_FV(B82,"Precio"),"")</f>
        <v/>
      </c>
      <c r="F82" t="str" cm="1">
        <f t="array" ref="F82">IF(A82="","",_FV(B82,"Tipo de instrumento",TRUE))</f>
        <v/>
      </c>
      <c r="G82" s="24" t="str" cm="1">
        <f t="array" ref="G82">IF(A82="","",IFERROR(_FV(B82,"Sector"),"N/A"))</f>
        <v/>
      </c>
    </row>
    <row r="83" spans="3:7" x14ac:dyDescent="0.2">
      <c r="C83" t="str" cm="1">
        <f t="array" ref="C83">IF(A83="","",_FV(B83,"Nombre"))</f>
        <v/>
      </c>
      <c r="D83" s="27" t="str" cm="1">
        <f t="array" ref="D83">IFERROR(_FV(B83,"Precio"),"")</f>
        <v/>
      </c>
      <c r="F83" t="str" cm="1">
        <f t="array" ref="F83">IF(A83="","",_FV(B83,"Tipo de instrumento",TRUE))</f>
        <v/>
      </c>
      <c r="G83" s="24" t="str" cm="1">
        <f t="array" ref="G83">IF(A83="","",IFERROR(_FV(B83,"Sector"),"N/A"))</f>
        <v/>
      </c>
    </row>
    <row r="84" spans="3:7" x14ac:dyDescent="0.2">
      <c r="C84" t="str" cm="1">
        <f t="array" ref="C84">IF(A84="","",_FV(B84,"Nombre"))</f>
        <v/>
      </c>
      <c r="D84" s="27" t="str" cm="1">
        <f t="array" ref="D84">IFERROR(_FV(B84,"Precio"),"")</f>
        <v/>
      </c>
      <c r="F84" t="str" cm="1">
        <f t="array" ref="F84">IF(A84="","",_FV(B84,"Tipo de instrumento",TRUE))</f>
        <v/>
      </c>
      <c r="G84" s="24" t="str" cm="1">
        <f t="array" ref="G84">IF(A84="","",IFERROR(_FV(B84,"Sector"),"N/A"))</f>
        <v/>
      </c>
    </row>
    <row r="85" spans="3:7" x14ac:dyDescent="0.2">
      <c r="C85" t="str" cm="1">
        <f t="array" ref="C85">IF(A85="","",_FV(B85,"Nombre"))</f>
        <v/>
      </c>
      <c r="D85" s="27" t="str" cm="1">
        <f t="array" ref="D85">IFERROR(_FV(B85,"Precio"),"")</f>
        <v/>
      </c>
      <c r="F85" t="str" cm="1">
        <f t="array" ref="F85">IF(A85="","",_FV(B85,"Tipo de instrumento",TRUE))</f>
        <v/>
      </c>
      <c r="G85" s="24" t="str" cm="1">
        <f t="array" ref="G85">IF(A85="","",IFERROR(_FV(B85,"Sector"),"N/A"))</f>
        <v/>
      </c>
    </row>
    <row r="86" spans="3:7" x14ac:dyDescent="0.2">
      <c r="C86" t="str" cm="1">
        <f t="array" ref="C86">IF(A86="","",_FV(B86,"Nombre"))</f>
        <v/>
      </c>
      <c r="D86" s="27" t="str" cm="1">
        <f t="array" ref="D86">IFERROR(_FV(B86,"Precio"),"")</f>
        <v/>
      </c>
      <c r="F86" t="str" cm="1">
        <f t="array" ref="F86">IF(A86="","",_FV(B86,"Tipo de instrumento",TRUE))</f>
        <v/>
      </c>
      <c r="G86" s="24" t="str" cm="1">
        <f t="array" ref="G86">IF(A86="","",IFERROR(_FV(B86,"Sector"),"N/A"))</f>
        <v/>
      </c>
    </row>
    <row r="87" spans="3:7" x14ac:dyDescent="0.2">
      <c r="C87" t="str" cm="1">
        <f t="array" ref="C87">IF(A87="","",_FV(B87,"Nombre"))</f>
        <v/>
      </c>
      <c r="D87" s="27" t="str" cm="1">
        <f t="array" ref="D87">IFERROR(_FV(B87,"Precio"),"")</f>
        <v/>
      </c>
      <c r="F87" t="str" cm="1">
        <f t="array" ref="F87">IF(A87="","",_FV(B87,"Tipo de instrumento",TRUE))</f>
        <v/>
      </c>
      <c r="G87" s="24" t="str" cm="1">
        <f t="array" ref="G87">IF(A87="","",IFERROR(_FV(B87,"Sector"),"N/A"))</f>
        <v/>
      </c>
    </row>
    <row r="88" spans="3:7" x14ac:dyDescent="0.2">
      <c r="C88" t="str" cm="1">
        <f t="array" ref="C88">IF(A88="","",_FV(B88,"Nombre"))</f>
        <v/>
      </c>
      <c r="D88" s="27" t="str" cm="1">
        <f t="array" ref="D88">IFERROR(_FV(B88,"Precio"),"")</f>
        <v/>
      </c>
      <c r="F88" t="str" cm="1">
        <f t="array" ref="F88">IF(A88="","",_FV(B88,"Tipo de instrumento",TRUE))</f>
        <v/>
      </c>
      <c r="G88" s="24" t="str" cm="1">
        <f t="array" ref="G88">IF(A88="","",IFERROR(_FV(B88,"Sector"),"N/A"))</f>
        <v/>
      </c>
    </row>
    <row r="89" spans="3:7" x14ac:dyDescent="0.2">
      <c r="C89" t="str" cm="1">
        <f t="array" ref="C89">IF(A89="","",_FV(B89,"Nombre"))</f>
        <v/>
      </c>
      <c r="D89" s="27" t="str" cm="1">
        <f t="array" ref="D89">IFERROR(_FV(B89,"Precio"),"")</f>
        <v/>
      </c>
      <c r="F89" t="str" cm="1">
        <f t="array" ref="F89">IF(A89="","",_FV(B89,"Tipo de instrumento",TRUE))</f>
        <v/>
      </c>
      <c r="G89" s="24" t="str" cm="1">
        <f t="array" ref="G89">IF(A89="","",IFERROR(_FV(B89,"Sector"),"N/A"))</f>
        <v/>
      </c>
    </row>
    <row r="90" spans="3:7" x14ac:dyDescent="0.2">
      <c r="C90" t="str" cm="1">
        <f t="array" ref="C90">IF(A90="","",_FV(B90,"Nombre"))</f>
        <v/>
      </c>
      <c r="D90" s="27" t="str" cm="1">
        <f t="array" ref="D90">IFERROR(_FV(B90,"Precio"),"")</f>
        <v/>
      </c>
      <c r="F90" t="str" cm="1">
        <f t="array" ref="F90">IF(A90="","",_FV(B90,"Tipo de instrumento",TRUE))</f>
        <v/>
      </c>
      <c r="G90" s="24" t="str" cm="1">
        <f t="array" ref="G90">IF(A90="","",IFERROR(_FV(B90,"Sector"),"N/A"))</f>
        <v/>
      </c>
    </row>
    <row r="91" spans="3:7" x14ac:dyDescent="0.2">
      <c r="C91" t="str" cm="1">
        <f t="array" ref="C91">IF(A91="","",_FV(B91,"Nombre"))</f>
        <v/>
      </c>
      <c r="D91" s="27" t="str" cm="1">
        <f t="array" ref="D91">IFERROR(_FV(B91,"Precio"),"")</f>
        <v/>
      </c>
      <c r="F91" t="str" cm="1">
        <f t="array" ref="F91">IF(A91="","",_FV(B91,"Tipo de instrumento",TRUE))</f>
        <v/>
      </c>
      <c r="G91" s="24" t="str" cm="1">
        <f t="array" ref="G91">IF(A91="","",IFERROR(_FV(B91,"Sector"),"N/A"))</f>
        <v/>
      </c>
    </row>
    <row r="92" spans="3:7" x14ac:dyDescent="0.2">
      <c r="C92" t="str" cm="1">
        <f t="array" ref="C92">IF(A92="","",_FV(B92,"Nombre"))</f>
        <v/>
      </c>
      <c r="D92" s="27" t="str" cm="1">
        <f t="array" ref="D92">IFERROR(_FV(B92,"Precio"),"")</f>
        <v/>
      </c>
      <c r="F92" t="str" cm="1">
        <f t="array" ref="F92">IF(A92="","",_FV(B92,"Tipo de instrumento",TRUE))</f>
        <v/>
      </c>
      <c r="G92" s="24" t="str" cm="1">
        <f t="array" ref="G92">IF(A92="","",IFERROR(_FV(B92,"Sector"),"N/A"))</f>
        <v/>
      </c>
    </row>
    <row r="93" spans="3:7" x14ac:dyDescent="0.2">
      <c r="C93" t="str" cm="1">
        <f t="array" ref="C93">IF(A93="","",_FV(B93,"Nombre"))</f>
        <v/>
      </c>
      <c r="D93" s="27" t="str" cm="1">
        <f t="array" ref="D93">IFERROR(_FV(B93,"Precio"),"")</f>
        <v/>
      </c>
      <c r="F93" t="str" cm="1">
        <f t="array" ref="F93">IF(A93="","",_FV(B93,"Tipo de instrumento",TRUE))</f>
        <v/>
      </c>
      <c r="G93" s="24" t="str" cm="1">
        <f t="array" ref="G93">IF(A93="","",IFERROR(_FV(B93,"Sector"),"N/A"))</f>
        <v/>
      </c>
    </row>
    <row r="94" spans="3:7" x14ac:dyDescent="0.2">
      <c r="C94" t="str" cm="1">
        <f t="array" ref="C94">IF(A94="","",_FV(B94,"Nombre"))</f>
        <v/>
      </c>
      <c r="D94" s="27" t="str" cm="1">
        <f t="array" ref="D94">IFERROR(_FV(B94,"Precio"),"")</f>
        <v/>
      </c>
      <c r="F94" t="str" cm="1">
        <f t="array" ref="F94">IF(A94="","",_FV(B94,"Tipo de instrumento",TRUE))</f>
        <v/>
      </c>
      <c r="G94" s="24" t="str" cm="1">
        <f t="array" ref="G94">IF(A94="","",IFERROR(_FV(B94,"Sector"),"N/A"))</f>
        <v/>
      </c>
    </row>
    <row r="95" spans="3:7" x14ac:dyDescent="0.2">
      <c r="C95" t="str" cm="1">
        <f t="array" ref="C95">IF(A95="","",_FV(B95,"Nombre"))</f>
        <v/>
      </c>
      <c r="D95" s="27" t="str" cm="1">
        <f t="array" ref="D95">IFERROR(_FV(B95,"Precio"),"")</f>
        <v/>
      </c>
      <c r="F95" t="str" cm="1">
        <f t="array" ref="F95">IF(A95="","",_FV(B95,"Tipo de instrumento",TRUE))</f>
        <v/>
      </c>
      <c r="G95" s="24" t="str" cm="1">
        <f t="array" ref="G95">IF(A95="","",IFERROR(_FV(B95,"Sector"),"N/A"))</f>
        <v/>
      </c>
    </row>
    <row r="96" spans="3:7" x14ac:dyDescent="0.2">
      <c r="C96" t="str" cm="1">
        <f t="array" ref="C96">IF(A96="","",_FV(B96,"Nombre"))</f>
        <v/>
      </c>
      <c r="D96" s="27" t="str" cm="1">
        <f t="array" ref="D96">IFERROR(_FV(B96,"Precio"),"")</f>
        <v/>
      </c>
      <c r="F96" t="str" cm="1">
        <f t="array" ref="F96">IF(A96="","",_FV(B96,"Tipo de instrumento",TRUE))</f>
        <v/>
      </c>
      <c r="G96" s="24" t="str" cm="1">
        <f t="array" ref="G96">IF(A96="","",IFERROR(_FV(B96,"Sector"),"N/A"))</f>
        <v/>
      </c>
    </row>
    <row r="97" spans="3:7" x14ac:dyDescent="0.2">
      <c r="C97" t="str" cm="1">
        <f t="array" ref="C97">IF(A97="","",_FV(B97,"Nombre"))</f>
        <v/>
      </c>
      <c r="D97" s="27" t="str" cm="1">
        <f t="array" ref="D97">IFERROR(_FV(B97,"Precio"),"")</f>
        <v/>
      </c>
      <c r="F97" t="str" cm="1">
        <f t="array" ref="F97">IF(A97="","",_FV(B97,"Tipo de instrumento",TRUE))</f>
        <v/>
      </c>
      <c r="G97" s="24" t="str" cm="1">
        <f t="array" ref="G97">IF(A97="","",IFERROR(_FV(B97,"Sector"),"N/A"))</f>
        <v/>
      </c>
    </row>
    <row r="98" spans="3:7" x14ac:dyDescent="0.2">
      <c r="C98" t="str" cm="1">
        <f t="array" ref="C98">IF(A98="","",_FV(B98,"Nombre"))</f>
        <v/>
      </c>
      <c r="D98" s="27" t="str" cm="1">
        <f t="array" ref="D98">IFERROR(_FV(B98,"Precio"),"")</f>
        <v/>
      </c>
      <c r="F98" t="str" cm="1">
        <f t="array" ref="F98">IF(A98="","",_FV(B98,"Tipo de instrumento",TRUE))</f>
        <v/>
      </c>
      <c r="G98" s="24" t="str" cm="1">
        <f t="array" ref="G98">IF(A98="","",IFERROR(_FV(B98,"Sector"),"N/A"))</f>
        <v/>
      </c>
    </row>
    <row r="99" spans="3:7" x14ac:dyDescent="0.2">
      <c r="C99" t="str" cm="1">
        <f t="array" ref="C99">IF(A99="","",_FV(B99,"Nombre"))</f>
        <v/>
      </c>
      <c r="D99" s="27" t="str" cm="1">
        <f t="array" ref="D99">IFERROR(_FV(B99,"Precio"),"")</f>
        <v/>
      </c>
      <c r="F99" t="str" cm="1">
        <f t="array" ref="F99">IF(A99="","",_FV(B99,"Tipo de instrumento",TRUE))</f>
        <v/>
      </c>
      <c r="G99" s="24" t="str" cm="1">
        <f t="array" ref="G99">IF(A99="","",IFERROR(_FV(B99,"Sector"),"N/A"))</f>
        <v/>
      </c>
    </row>
    <row r="100" spans="3:7" x14ac:dyDescent="0.2">
      <c r="C100" t="str" cm="1">
        <f t="array" ref="C100">IF(A100="","",_FV(B100,"Nombre"))</f>
        <v/>
      </c>
      <c r="D100" s="27" t="str" cm="1">
        <f t="array" ref="D100">IFERROR(_FV(B100,"Precio"),"")</f>
        <v/>
      </c>
      <c r="F100" t="str" cm="1">
        <f t="array" ref="F100">IF(A100="","",_FV(B100,"Tipo de instrumento",TRUE))</f>
        <v/>
      </c>
      <c r="G100" s="24" t="str" cm="1">
        <f t="array" ref="G100">IF(A100="","",IFERROR(_FV(B100,"Sector"),"N/A"))</f>
        <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C9BBF2-A87D-4748-B3EB-FA501BC6FB22}">
  <dimension ref="A1:L100"/>
  <sheetViews>
    <sheetView workbookViewId="0">
      <selection activeCell="K21" sqref="K21"/>
    </sheetView>
  </sheetViews>
  <sheetFormatPr baseColWidth="10" defaultRowHeight="16" x14ac:dyDescent="0.2"/>
  <cols>
    <col min="1" max="1" width="19.33203125" style="39" customWidth="1"/>
    <col min="2" max="2" width="15.1640625" style="39" customWidth="1"/>
    <col min="3" max="3" width="14.5" style="40" customWidth="1"/>
    <col min="4" max="4" width="14.1640625" style="40" customWidth="1"/>
    <col min="5" max="5" width="13" style="39" customWidth="1"/>
    <col min="6" max="6" width="13.6640625" style="40" customWidth="1"/>
    <col min="7" max="7" width="11.6640625" style="40" customWidth="1"/>
    <col min="8" max="8" width="21" style="40" customWidth="1"/>
    <col min="9" max="9" width="17.33203125" style="40" customWidth="1"/>
    <col min="10" max="10" width="19.6640625" style="40" customWidth="1"/>
    <col min="11" max="11" width="15" style="40" customWidth="1"/>
    <col min="12" max="12" width="13.1640625" style="41" customWidth="1"/>
    <col min="13" max="14" width="10.83203125" style="39"/>
    <col min="15" max="15" width="18" style="39" customWidth="1"/>
    <col min="16" max="16384" width="10.83203125" style="39"/>
  </cols>
  <sheetData>
    <row r="1" spans="1:12" s="38" customFormat="1" x14ac:dyDescent="0.2">
      <c r="A1" s="42" t="s">
        <v>1</v>
      </c>
      <c r="B1" s="42" t="s">
        <v>24</v>
      </c>
      <c r="C1" s="43" t="s">
        <v>22</v>
      </c>
      <c r="D1" s="43" t="s">
        <v>25</v>
      </c>
      <c r="E1" s="42" t="s">
        <v>13</v>
      </c>
      <c r="F1" s="43" t="s">
        <v>37</v>
      </c>
      <c r="G1" s="43" t="s">
        <v>41</v>
      </c>
      <c r="H1" s="43" t="s">
        <v>42</v>
      </c>
      <c r="I1" s="43" t="s">
        <v>43</v>
      </c>
      <c r="J1" s="43" t="s">
        <v>44</v>
      </c>
      <c r="K1" s="43" t="s">
        <v>30</v>
      </c>
      <c r="L1" s="44" t="s">
        <v>26</v>
      </c>
    </row>
    <row r="2" spans="1:12" x14ac:dyDescent="0.2">
      <c r="A2" s="39" t="str" cm="1">
        <f t="array" ref="A2:A9">_xlfn.UNIQUE(Transactions[Ticker])</f>
        <v>AAPL</v>
      </c>
      <c r="B2" s="39">
        <f>SUMIFS(Transactions[Shares],Transactions[Ticker],Holdings!$A2,Transactions[Action],"Buy")-SUMIFS(Transactions[Shares],Transactions[Ticker],Holdings!$A2,Transactions[Action],"Sell")</f>
        <v>7</v>
      </c>
      <c r="C2" s="40">
        <f ca="1">IF(Holdings!A2="","",_xlfn.XLOOKUP(Holdings!$A2,Prices!$A$2:$A$100, Prices!$B$2:$B$100))</f>
        <v>280.14</v>
      </c>
      <c r="D2" s="40">
        <f ca="1">Holdings!$B2*Holdings!$C2</f>
        <v>1960.98</v>
      </c>
      <c r="E2" s="39" t="str">
        <f>IF(A2="","",_xlfn.XLOOKUP(Holdings!$A2, Asset_Info!$A$2:$A$100,Asset_Info!$D$2:$D$100))</f>
        <v>Technology</v>
      </c>
      <c r="F2" s="40">
        <f>SUMIFS(Transactions[Total], Transactions[Ticker], Holdings!$A2)</f>
        <v>1280</v>
      </c>
      <c r="G2" s="40">
        <f>IF(A2="","",IFERROR(SUMIFS(Transactions[Total],Transactions[Ticker],A2,Transactions[Action],"Buy")/SUMIFS(Transactions[Shares],Transactions[Ticker],A2,Transactions[Action],"Buy"),0))</f>
        <v>182.85714285714286</v>
      </c>
      <c r="H2" s="40">
        <f>IFERROR(B2*G2,"")</f>
        <v>1280</v>
      </c>
      <c r="I2" s="40">
        <f>IFERROR(SUMIFS(Transactions[Total],Transactions[Ticker],A2,Transactions[Action],"Sell")*-1-SUMIFS(Transactions[Shares],Transactions[Ticker],A2,Transactions[Action],"Sell")*G2,"")</f>
        <v>0</v>
      </c>
      <c r="J2" s="40">
        <f ca="1">IFERROR(D2-H2,"")</f>
        <v>680.98</v>
      </c>
      <c r="K2" s="40">
        <f ca="1">IFERROR(I2+J2,"")</f>
        <v>680.98</v>
      </c>
      <c r="L2" s="41">
        <f ca="1">IF(A2="","",IFERROR(K2/(H2+SUMIFS(Transactions[Shares],Transactions[Ticker],A2,Transactions[Action],"Sell")*G2),0))</f>
        <v>0.53201562499999999</v>
      </c>
    </row>
    <row r="3" spans="1:12" x14ac:dyDescent="0.2">
      <c r="A3" s="39" t="str">
        <v>MSFT</v>
      </c>
      <c r="B3" s="39">
        <f>SUMIFS(Transactions[Shares],Transactions[Ticker],Holdings!$A3,Transactions[Action],"Buy")-SUMIFS(Transactions[Shares],Transactions[Ticker],Holdings!$A3,Transactions[Action],"Sell")</f>
        <v>3</v>
      </c>
      <c r="C3" s="40">
        <f ca="1">IF(Holdings!A3="","",_xlfn.XLOOKUP(Holdings!$A3,Prices!$A$2:$A$100, Prices!$B$2:$B$100))</f>
        <v>414.44</v>
      </c>
      <c r="D3" s="40">
        <f ca="1">Holdings!$B3*Holdings!$C3</f>
        <v>1243.32</v>
      </c>
      <c r="E3" s="39" t="str">
        <f>IF(A3="","",_xlfn.XLOOKUP(Holdings!$A3, Asset_Info!$A$2:$A$100,Asset_Info!$D$2:$D$100))</f>
        <v>Technology</v>
      </c>
      <c r="F3" s="40">
        <f>SUMIFS(Transactions[Total], Transactions[Ticker], Holdings!$A3)</f>
        <v>900</v>
      </c>
      <c r="G3" s="40">
        <f>IF(A3="","",IFERROR(SUMIFS(Transactions[Total],Transactions[Ticker],A3,Transactions[Action],"Buy")/SUMIFS(Transactions[Shares],Transactions[Ticker],A3,Transactions[Action],"Buy"),0))</f>
        <v>300</v>
      </c>
      <c r="H3" s="40">
        <f t="shared" ref="H3:H66" si="0">IFERROR(B3*G3,"")</f>
        <v>900</v>
      </c>
      <c r="I3" s="40">
        <f>IFERROR(SUMIFS(Transactions[Total],Transactions[Ticker],A3,Transactions[Action],"Sell")*-1-SUMIFS(Transactions[Shares],Transactions[Ticker],A3,Transactions[Action],"Sell")*G3,"")</f>
        <v>0</v>
      </c>
      <c r="J3" s="40">
        <f t="shared" ref="J3:J66" ca="1" si="1">IFERROR(D3-H3,"")</f>
        <v>343.31999999999994</v>
      </c>
      <c r="K3" s="40">
        <f t="shared" ref="K3:K66" ca="1" si="2">IFERROR(I3+J3,"")</f>
        <v>343.31999999999994</v>
      </c>
      <c r="L3" s="41">
        <f ca="1">IF(A3="","",IFERROR(K3/(H3+SUMIFS(Transactions[Shares],Transactions[Ticker],A3,Transactions[Action],"Sell")*G3),0))</f>
        <v>0.38146666666666662</v>
      </c>
    </row>
    <row r="4" spans="1:12" x14ac:dyDescent="0.2">
      <c r="A4" s="39" t="str">
        <v>SPY</v>
      </c>
      <c r="B4" s="39">
        <f>SUMIFS(Transactions[Shares],Transactions[Ticker],Holdings!$A4,Transactions[Action],"Buy")-SUMIFS(Transactions[Shares],Transactions[Ticker],Holdings!$A4,Transactions[Action],"Sell")</f>
        <v>2</v>
      </c>
      <c r="C4" s="40">
        <f ca="1">IF(Holdings!A4="","",_xlfn.XLOOKUP(Holdings!$A4,Prices!$A$2:$A$100, Prices!$B$2:$B$100))</f>
        <v>720.65</v>
      </c>
      <c r="D4" s="40">
        <f ca="1">Holdings!$B4*Holdings!$C4</f>
        <v>1441.3</v>
      </c>
      <c r="E4" s="39" t="str">
        <f>IF(A4="","",_xlfn.XLOOKUP(Holdings!$A4, Asset_Info!$A$2:$A$100,Asset_Info!$D$2:$D$100))</f>
        <v>Broad Market</v>
      </c>
      <c r="F4" s="40">
        <f>SUMIFS(Transactions[Total], Transactions[Ticker], Holdings!$A4)</f>
        <v>1000</v>
      </c>
      <c r="G4" s="40">
        <f>IF(A4="","",IFERROR(SUMIFS(Transactions[Total],Transactions[Ticker],A4,Transactions[Action],"Buy")/SUMIFS(Transactions[Shares],Transactions[Ticker],A4,Transactions[Action],"Buy"),0))</f>
        <v>500</v>
      </c>
      <c r="H4" s="40">
        <f t="shared" si="0"/>
        <v>1000</v>
      </c>
      <c r="I4" s="40">
        <f>IFERROR(SUMIFS(Transactions[Total],Transactions[Ticker],A4,Transactions[Action],"Sell")*-1-SUMIFS(Transactions[Shares],Transactions[Ticker],A4,Transactions[Action],"Sell")*G4,"")</f>
        <v>0</v>
      </c>
      <c r="J4" s="40">
        <f t="shared" ca="1" si="1"/>
        <v>441.29999999999995</v>
      </c>
      <c r="K4" s="40">
        <f t="shared" ca="1" si="2"/>
        <v>441.29999999999995</v>
      </c>
      <c r="L4" s="41">
        <f ca="1">IF(A4="","",IFERROR(K4/(H4+SUMIFS(Transactions[Shares],Transactions[Ticker],A4,Transactions[Action],"Sell")*G4),0))</f>
        <v>0.44129999999999997</v>
      </c>
    </row>
    <row r="5" spans="1:12" x14ac:dyDescent="0.2">
      <c r="A5" s="39" t="str">
        <v>NVDA</v>
      </c>
      <c r="B5" s="39">
        <f>SUMIFS(Transactions[Shares],Transactions[Ticker],Holdings!$A5,Transactions[Action],"Buy")-SUMIFS(Transactions[Shares],Transactions[Ticker],Holdings!$A5,Transactions[Action],"Sell")</f>
        <v>6</v>
      </c>
      <c r="C5" s="40">
        <f ca="1">IF(Holdings!A5="","",_xlfn.XLOOKUP(Holdings!$A5,Prices!$A$2:$A$100, Prices!$B$2:$B$100))</f>
        <v>198.45</v>
      </c>
      <c r="D5" s="40">
        <f ca="1">Holdings!$B5*Holdings!$C5</f>
        <v>1190.6999999999998</v>
      </c>
      <c r="E5" s="39" t="str">
        <f>IF(A5="","",_xlfn.XLOOKUP(Holdings!$A5, Asset_Info!$A$2:$A$100,Asset_Info!$D$2:$D$100))</f>
        <v>Technology</v>
      </c>
      <c r="F5" s="40">
        <f>SUMIFS(Transactions[Total], Transactions[Ticker], Holdings!$A5)</f>
        <v>260</v>
      </c>
      <c r="G5" s="40">
        <f>IF(A5="","",IFERROR(SUMIFS(Transactions[Total],Transactions[Ticker],A5,Transactions[Action],"Buy")/SUMIFS(Transactions[Shares],Transactions[Ticker],A5,Transactions[Action],"Buy"),0))</f>
        <v>50</v>
      </c>
      <c r="H5" s="40">
        <f t="shared" si="0"/>
        <v>300</v>
      </c>
      <c r="I5" s="40">
        <f>IFERROR(SUMIFS(Transactions[Total],Transactions[Ticker],A5,Transactions[Action],"Sell")*-1-SUMIFS(Transactions[Shares],Transactions[Ticker],A5,Transactions[Action],"Sell")*G5,"")</f>
        <v>40</v>
      </c>
      <c r="J5" s="40">
        <f t="shared" ca="1" si="1"/>
        <v>890.69999999999982</v>
      </c>
      <c r="K5" s="40">
        <f t="shared" ca="1" si="2"/>
        <v>930.69999999999982</v>
      </c>
      <c r="L5" s="41">
        <f ca="1">IF(A5="","",IFERROR(K5/(H5+SUMIFS(Transactions[Shares],Transactions[Ticker],A5,Transactions[Action],"Sell")*G5),0))</f>
        <v>1.8613999999999997</v>
      </c>
    </row>
    <row r="6" spans="1:12" x14ac:dyDescent="0.2">
      <c r="A6" s="39" t="str">
        <v>GLD</v>
      </c>
      <c r="B6" s="39">
        <f>SUMIFS(Transactions[Shares],Transactions[Ticker],Holdings!$A6,Transactions[Action],"Buy")-SUMIFS(Transactions[Shares],Transactions[Ticker],Holdings!$A6,Transactions[Action],"Sell")</f>
        <v>3</v>
      </c>
      <c r="C6" s="40">
        <f ca="1">IF(Holdings!A6="","",_xlfn.XLOOKUP(Holdings!$A6,Prices!$A$2:$A$100, Prices!$B$2:$B$100))</f>
        <v>423.18</v>
      </c>
      <c r="D6" s="40">
        <f ca="1">Holdings!$B6*Holdings!$C6</f>
        <v>1269.54</v>
      </c>
      <c r="E6" s="39" t="str">
        <f>IF(A6="","",_xlfn.XLOOKUP(Holdings!$A6, Asset_Info!$A$2:$A$100,Asset_Info!$D$2:$D$100))</f>
        <v>Commodities</v>
      </c>
      <c r="F6" s="40">
        <f>SUMIFS(Transactions[Total], Transactions[Ticker], Holdings!$A6)</f>
        <v>600</v>
      </c>
      <c r="G6" s="40">
        <f>IF(A6="","",IFERROR(SUMIFS(Transactions[Total],Transactions[Ticker],A6,Transactions[Action],"Buy")/SUMIFS(Transactions[Shares],Transactions[Ticker],A6,Transactions[Action],"Buy"),0))</f>
        <v>200</v>
      </c>
      <c r="H6" s="40">
        <f t="shared" si="0"/>
        <v>600</v>
      </c>
      <c r="I6" s="40">
        <f>IFERROR(SUMIFS(Transactions[Total],Transactions[Ticker],A6,Transactions[Action],"Sell")*-1-SUMIFS(Transactions[Shares],Transactions[Ticker],A6,Transactions[Action],"Sell")*G6,"")</f>
        <v>0</v>
      </c>
      <c r="J6" s="40">
        <f t="shared" ca="1" si="1"/>
        <v>669.54</v>
      </c>
      <c r="K6" s="40">
        <f t="shared" ca="1" si="2"/>
        <v>669.54</v>
      </c>
      <c r="L6" s="41">
        <f ca="1">IF(A6="","",IFERROR(K6/(H6+SUMIFS(Transactions[Shares],Transactions[Ticker],A6,Transactions[Action],"Sell")*G6),0))</f>
        <v>1.1158999999999999</v>
      </c>
    </row>
    <row r="7" spans="1:12" x14ac:dyDescent="0.2">
      <c r="A7" s="39" t="str">
        <v>JPM</v>
      </c>
      <c r="B7" s="39">
        <f>SUMIFS(Transactions[Shares],Transactions[Ticker],Holdings!$A7,Transactions[Action],"Buy")-SUMIFS(Transactions[Shares],Transactions[Ticker],Holdings!$A7,Transactions[Action],"Sell")</f>
        <v>20</v>
      </c>
      <c r="C7" s="40">
        <f ca="1">IF(Holdings!A7="","",_xlfn.XLOOKUP(Holdings!$A7,Prices!$A$2:$A$100, Prices!$B$2:$B$100))</f>
        <v>312.47000000000003</v>
      </c>
      <c r="D7" s="40">
        <f ca="1">Holdings!$B7*Holdings!$C7</f>
        <v>6249.4000000000005</v>
      </c>
      <c r="E7" s="39" t="str">
        <f>IF(A7="","",_xlfn.XLOOKUP(Holdings!$A7, Asset_Info!$A$2:$A$100,Asset_Info!$D$2:$D$100))</f>
        <v>Finance</v>
      </c>
      <c r="F7" s="40">
        <f>SUMIFS(Transactions[Total], Transactions[Ticker], Holdings!$A7)</f>
        <v>9600</v>
      </c>
      <c r="G7" s="40">
        <f>IF(A7="","",IFERROR(SUMIFS(Transactions[Total],Transactions[Ticker],A7,Transactions[Action],"Buy")/SUMIFS(Transactions[Shares],Transactions[Ticker],A7,Transactions[Action],"Buy"),0))</f>
        <v>480</v>
      </c>
      <c r="H7" s="40">
        <f t="shared" si="0"/>
        <v>9600</v>
      </c>
      <c r="I7" s="40">
        <f>IFERROR(SUMIFS(Transactions[Total],Transactions[Ticker],A7,Transactions[Action],"Sell")*-1-SUMIFS(Transactions[Shares],Transactions[Ticker],A7,Transactions[Action],"Sell")*G7,"")</f>
        <v>0</v>
      </c>
      <c r="J7" s="40">
        <f t="shared" ca="1" si="1"/>
        <v>-3350.5999999999995</v>
      </c>
      <c r="K7" s="40">
        <f t="shared" ca="1" si="2"/>
        <v>-3350.5999999999995</v>
      </c>
      <c r="L7" s="41">
        <f ca="1">IF(A7="","",IFERROR(K7/(H7+SUMIFS(Transactions[Shares],Transactions[Ticker],A7,Transactions[Action],"Sell")*G7),0))</f>
        <v>-0.34902083333333328</v>
      </c>
    </row>
    <row r="8" spans="1:12" x14ac:dyDescent="0.2">
      <c r="A8" s="39" t="str">
        <v>AMZN</v>
      </c>
      <c r="B8" s="39">
        <f>IF(Holdings!A8="","",SUMIFS(Transactions[Shares],Transactions[Ticker],Holdings!$A8,Transactions[Action],"Buy")-SUMIFS(Transactions[Shares],Transactions[Ticker],Holdings!$A8,Transactions[Action],"Sell"))</f>
        <v>50</v>
      </c>
      <c r="C8" s="40">
        <f ca="1">IF(Holdings!A8="","",_xlfn.XLOOKUP(Holdings!$A8,Prices!$A$2:$A$100, Prices!$B$2:$B$100))</f>
        <v>268.26</v>
      </c>
      <c r="D8" s="40">
        <f ca="1">IF(Holdings!B8="","",Holdings!$B8*Holdings!$C8)</f>
        <v>13413</v>
      </c>
      <c r="E8" s="39" t="str">
        <f>IF(A8="","",_xlfn.XLOOKUP(Holdings!$A8, Asset_Info!$A$2:$A$100,Asset_Info!$D$2:$D$100))</f>
        <v>Retail</v>
      </c>
      <c r="F8" s="40">
        <f>IF(Holdings!A8="","",SUMIFS(Transactions[Total], Transactions[Ticker], Holdings!$A8))</f>
        <v>10000</v>
      </c>
      <c r="G8" s="40">
        <f>IF(A8="","",IFERROR(SUMIFS(Transactions[Total],Transactions[Ticker],A8,Transactions[Action],"Buy")/SUMIFS(Transactions[Shares],Transactions[Ticker],A8,Transactions[Action],"Buy"),0))</f>
        <v>200</v>
      </c>
      <c r="H8" s="40">
        <f t="shared" si="0"/>
        <v>10000</v>
      </c>
      <c r="I8" s="40">
        <f>IFERROR(SUMIFS(Transactions[Total],Transactions[Ticker],A8,Transactions[Action],"Sell")*-1-SUMIFS(Transactions[Shares],Transactions[Ticker],A8,Transactions[Action],"Sell")*G8,"")</f>
        <v>0</v>
      </c>
      <c r="J8" s="40">
        <f t="shared" ca="1" si="1"/>
        <v>3413</v>
      </c>
      <c r="K8" s="40">
        <f t="shared" ca="1" si="2"/>
        <v>3413</v>
      </c>
      <c r="L8" s="41">
        <f ca="1">IF(A8="","",IFERROR(K8/(H8+SUMIFS(Transactions[Shares],Transactions[Ticker],A8,Transactions[Action],"Sell")*G8),0))</f>
        <v>0.34129999999999999</v>
      </c>
    </row>
    <row r="9" spans="1:12" x14ac:dyDescent="0.2">
      <c r="A9" s="39" t="str">
        <v>GOOGL</v>
      </c>
      <c r="B9" s="39">
        <f>IF(Holdings!A9="","",SUMIFS(Transactions[Shares],Transactions[Ticker],Holdings!$A9,Transactions[Action],"Buy")-SUMIFS(Transactions[Shares],Transactions[Ticker],Holdings!$A9,Transactions[Action],"Sell"))</f>
        <v>100</v>
      </c>
      <c r="C9" s="40">
        <f ca="1">IF(Holdings!A9="","",_xlfn.XLOOKUP(Holdings!$A9,Prices!$A$2:$A$100, Prices!$B$2:$B$100))</f>
        <v>385.69</v>
      </c>
      <c r="D9" s="40">
        <f ca="1">IF(Holdings!B9="","",Holdings!$B9*Holdings!$C9)</f>
        <v>38569</v>
      </c>
      <c r="E9" s="39" t="str">
        <f>IF(A9="","",_xlfn.XLOOKUP(Holdings!$A9, Asset_Info!$A$2:$A$100,Asset_Info!$D$2:$D$100))</f>
        <v>Technology</v>
      </c>
      <c r="F9" s="40">
        <f>IF(Holdings!A9="","",SUMIFS(Transactions[Total], Transactions[Ticker], Holdings!$A9))</f>
        <v>30000</v>
      </c>
      <c r="G9" s="40">
        <f>IF(A9="","",IFERROR(SUMIFS(Transactions[Total],Transactions[Ticker],A9,Transactions[Action],"Buy")/SUMIFS(Transactions[Shares],Transactions[Ticker],A9,Transactions[Action],"Buy"),0))</f>
        <v>300</v>
      </c>
      <c r="H9" s="40">
        <f t="shared" si="0"/>
        <v>30000</v>
      </c>
      <c r="I9" s="40">
        <f>IFERROR(SUMIFS(Transactions[Total],Transactions[Ticker],A9,Transactions[Action],"Sell")*-1-SUMIFS(Transactions[Shares],Transactions[Ticker],A9,Transactions[Action],"Sell")*G9,"")</f>
        <v>0</v>
      </c>
      <c r="J9" s="40">
        <f t="shared" ca="1" si="1"/>
        <v>8569</v>
      </c>
      <c r="K9" s="40">
        <f t="shared" ca="1" si="2"/>
        <v>8569</v>
      </c>
      <c r="L9" s="41">
        <f ca="1">IF(A9="","",IFERROR(K9/(H9+SUMIFS(Transactions[Shares],Transactions[Ticker],A9,Transactions[Action],"Sell")*G9),0))</f>
        <v>0.28563333333333335</v>
      </c>
    </row>
    <row r="10" spans="1:12" x14ac:dyDescent="0.2">
      <c r="B10" s="39" t="str">
        <f>IF(Holdings!A10="","",SUMIFS(Transactions[Shares],Transactions[Ticker],Holdings!$A10,Transactions[Action],"Buy")-SUMIFS(Transactions[Shares],Transactions[Ticker],Holdings!$A10,Transactions[Action],"Sell"))</f>
        <v/>
      </c>
      <c r="C10" s="40" t="str">
        <f>IF(Holdings!A10="","",_xlfn.XLOOKUP(Holdings!$A10,Prices!$A$2:$A$100, Prices!$B$2:$B$100))</f>
        <v/>
      </c>
      <c r="D10" s="40" t="str">
        <f>IF(Holdings!B10="","",Holdings!$B10*Holdings!$C10)</f>
        <v/>
      </c>
      <c r="E10" s="39" t="str">
        <f>IF(A10="","",_xlfn.XLOOKUP(Holdings!$A10, Asset_Info!$A$2:$A$100,Asset_Info!$D$2:$D$100))</f>
        <v/>
      </c>
      <c r="F10" s="40" t="str">
        <f>IF(Holdings!A10="","",SUMIFS(Transactions[Total], Transactions[Ticker], Holdings!$A10))</f>
        <v/>
      </c>
      <c r="G10" s="40" t="str">
        <f>IF(A10="","",IFERROR(SUMIFS(Transactions[Total],Transactions[Ticker],A10,Transactions[Action],"Buy")/SUMIFS(Transactions[Shares],Transactions[Ticker],A10,Transactions[Action],"Buy"),0))</f>
        <v/>
      </c>
      <c r="H10" s="40" t="str">
        <f t="shared" si="0"/>
        <v/>
      </c>
      <c r="I10" s="40" t="str">
        <f>IFERROR(SUMIFS(Transactions[Total],Transactions[Ticker],A10,Transactions[Action],"Sell")*-1-SUMIFS(Transactions[Shares],Transactions[Ticker],A10,Transactions[Action],"Sell")*G10,"")</f>
        <v/>
      </c>
      <c r="J10" s="40" t="str">
        <f t="shared" si="1"/>
        <v/>
      </c>
      <c r="K10" s="40" t="str">
        <f t="shared" si="2"/>
        <v/>
      </c>
      <c r="L10" s="41" t="str">
        <f>IF(A10="","",IFERROR(K10/(H10+SUMIFS(Transactions[Shares],Transactions[Ticker],A10,Transactions[Action],"Sell")*G10),0))</f>
        <v/>
      </c>
    </row>
    <row r="11" spans="1:12" x14ac:dyDescent="0.2">
      <c r="B11" s="39" t="str">
        <f>IF(Holdings!A11="","",SUMIFS(Transactions[Shares],Transactions[Ticker],Holdings!$A11,Transactions[Action],"Buy")-SUMIFS(Transactions[Shares],Transactions[Ticker],Holdings!$A11,Transactions[Action],"Sell"))</f>
        <v/>
      </c>
      <c r="C11" s="40" t="str">
        <f>IF(Holdings!A11="","",_xlfn.XLOOKUP(Holdings!$A11,Prices!$A$2:$A$100, Prices!$B$2:$B$100))</f>
        <v/>
      </c>
      <c r="D11" s="40" t="str">
        <f>IF(Holdings!B11="","",Holdings!$B11*Holdings!$C11)</f>
        <v/>
      </c>
      <c r="E11" s="39" t="str">
        <f>IF(A11="","",_xlfn.XLOOKUP(Holdings!$A11, Asset_Info!$A$2:$A$100,Asset_Info!$D$2:$D$100))</f>
        <v/>
      </c>
      <c r="F11" s="40" t="str">
        <f>IF(Holdings!A11="","",SUMIFS(Transactions[Total], Transactions[Ticker], Holdings!$A11))</f>
        <v/>
      </c>
      <c r="G11" s="40" t="str">
        <f>IF(A11="","",IFERROR(SUMIFS(Transactions[Total],Transactions[Ticker],A11,Transactions[Action],"Buy")/SUMIFS(Transactions[Shares],Transactions[Ticker],A11,Transactions[Action],"Buy"),0))</f>
        <v/>
      </c>
      <c r="H11" s="40" t="str">
        <f t="shared" si="0"/>
        <v/>
      </c>
      <c r="I11" s="40" t="str">
        <f>IFERROR(SUMIFS(Transactions[Total],Transactions[Ticker],A11,Transactions[Action],"Sell")*-1-SUMIFS(Transactions[Shares],Transactions[Ticker],A11,Transactions[Action],"Sell")*G11,"")</f>
        <v/>
      </c>
      <c r="J11" s="40" t="str">
        <f t="shared" si="1"/>
        <v/>
      </c>
      <c r="K11" s="40" t="str">
        <f t="shared" si="2"/>
        <v/>
      </c>
      <c r="L11" s="41" t="str">
        <f>IF(A11="","",IFERROR(K11/(H11+SUMIFS(Transactions[Shares],Transactions[Ticker],A11,Transactions[Action],"Sell")*G11),0))</f>
        <v/>
      </c>
    </row>
    <row r="12" spans="1:12" x14ac:dyDescent="0.2">
      <c r="B12" s="39" t="str">
        <f>IF(Holdings!A12="","",SUMIFS(Transactions[Shares],Transactions[Ticker],Holdings!$A12,Transactions[Action],"Buy")-SUMIFS(Transactions[Shares],Transactions[Ticker],Holdings!$A12,Transactions[Action],"Sell"))</f>
        <v/>
      </c>
      <c r="C12" s="40" t="str">
        <f>IF(Holdings!A12="","",_xlfn.XLOOKUP(Holdings!$A12,Prices!$A$2:$A$100, Prices!$B$2:$B$100))</f>
        <v/>
      </c>
      <c r="D12" s="40" t="str">
        <f>IF(Holdings!B12="","",Holdings!$B12*Holdings!$C12)</f>
        <v/>
      </c>
      <c r="E12" s="39" t="str">
        <f>IF(A12="","",_xlfn.XLOOKUP(Holdings!$A12, Asset_Info!$A$2:$A$100,Asset_Info!$D$2:$D$100))</f>
        <v/>
      </c>
      <c r="F12" s="40" t="str">
        <f>IF(Holdings!A12="","",SUMIFS(Transactions[Total], Transactions[Ticker], Holdings!$A12))</f>
        <v/>
      </c>
      <c r="G12" s="40" t="str">
        <f>IF(A12="","",IFERROR(SUMIFS(Transactions[Total],Transactions[Ticker],A12,Transactions[Action],"Buy")/SUMIFS(Transactions[Shares],Transactions[Ticker],A12,Transactions[Action],"Buy"),0))</f>
        <v/>
      </c>
      <c r="H12" s="40" t="str">
        <f t="shared" si="0"/>
        <v/>
      </c>
      <c r="I12" s="40" t="str">
        <f>IFERROR(SUMIFS(Transactions[Total],Transactions[Ticker],A12,Transactions[Action],"Sell")*-1-SUMIFS(Transactions[Shares],Transactions[Ticker],A12,Transactions[Action],"Sell")*G12,"")</f>
        <v/>
      </c>
      <c r="J12" s="40" t="str">
        <f t="shared" si="1"/>
        <v/>
      </c>
      <c r="K12" s="40" t="str">
        <f t="shared" si="2"/>
        <v/>
      </c>
      <c r="L12" s="41" t="str">
        <f>IF(A12="","",IFERROR(K12/(H12+SUMIFS(Transactions[Shares],Transactions[Ticker],A12,Transactions[Action],"Sell")*G12),0))</f>
        <v/>
      </c>
    </row>
    <row r="13" spans="1:12" x14ac:dyDescent="0.2">
      <c r="B13" s="39" t="str">
        <f>IF(Holdings!A13="","",SUMIFS(Transactions[Shares],Transactions[Ticker],Holdings!$A13,Transactions[Action],"Buy")-SUMIFS(Transactions[Shares],Transactions[Ticker],Holdings!$A13,Transactions[Action],"Sell"))</f>
        <v/>
      </c>
      <c r="C13" s="40" t="str">
        <f>IF(Holdings!A13="","",_xlfn.XLOOKUP(Holdings!$A13,Prices!$A$2:$A$100, Prices!$B$2:$B$100))</f>
        <v/>
      </c>
      <c r="D13" s="40" t="str">
        <f>IF(Holdings!B13="","",Holdings!$B13*Holdings!$C13)</f>
        <v/>
      </c>
      <c r="E13" s="39" t="str">
        <f>IF(A13="","",_xlfn.XLOOKUP(Holdings!$A13, Asset_Info!$A$2:$A$100,Asset_Info!$D$2:$D$100))</f>
        <v/>
      </c>
      <c r="F13" s="40" t="str">
        <f>IF(Holdings!A13="","",SUMIFS(Transactions[Total], Transactions[Ticker], Holdings!$A13))</f>
        <v/>
      </c>
      <c r="G13" s="40" t="str">
        <f>IF(A13="","",IFERROR(SUMIFS(Transactions[Total],Transactions[Ticker],A13,Transactions[Action],"Buy")/SUMIFS(Transactions[Shares],Transactions[Ticker],A13,Transactions[Action],"Buy"),0))</f>
        <v/>
      </c>
      <c r="H13" s="40" t="str">
        <f t="shared" si="0"/>
        <v/>
      </c>
      <c r="I13" s="40" t="str">
        <f>IFERROR(SUMIFS(Transactions[Total],Transactions[Ticker],A13,Transactions[Action],"Sell")*-1-SUMIFS(Transactions[Shares],Transactions[Ticker],A13,Transactions[Action],"Sell")*G13,"")</f>
        <v/>
      </c>
      <c r="J13" s="40" t="str">
        <f t="shared" si="1"/>
        <v/>
      </c>
      <c r="K13" s="40" t="str">
        <f t="shared" si="2"/>
        <v/>
      </c>
      <c r="L13" s="41" t="str">
        <f>IF(A13="","",IFERROR(K13/(H13+SUMIFS(Transactions[Shares],Transactions[Ticker],A13,Transactions[Action],"Sell")*G13),0))</f>
        <v/>
      </c>
    </row>
    <row r="14" spans="1:12" x14ac:dyDescent="0.2">
      <c r="B14" s="39" t="str">
        <f>IF(Holdings!A14="","",SUMIFS(Transactions[Shares],Transactions[Ticker],Holdings!$A14,Transactions[Action],"Buy")-SUMIFS(Transactions[Shares],Transactions[Ticker],Holdings!$A14,Transactions[Action],"Sell"))</f>
        <v/>
      </c>
      <c r="C14" s="40" t="str">
        <f>IF(Holdings!A14="","",_xlfn.XLOOKUP(Holdings!$A14,Prices!$A$2:$A$100, Prices!$B$2:$B$100))</f>
        <v/>
      </c>
      <c r="D14" s="40" t="str">
        <f>IF(Holdings!B14="","",Holdings!$B14*Holdings!$C14)</f>
        <v/>
      </c>
      <c r="E14" s="39" t="str">
        <f>IF(A14="","",_xlfn.XLOOKUP(Holdings!$A14, Asset_Info!$A$2:$A$100,Asset_Info!$D$2:$D$100))</f>
        <v/>
      </c>
      <c r="F14" s="40" t="str">
        <f>IF(Holdings!A14="","",SUMIFS(Transactions[Total], Transactions[Ticker], Holdings!$A14))</f>
        <v/>
      </c>
      <c r="G14" s="40" t="str">
        <f>IF(A14="","",IFERROR(SUMIFS(Transactions[Total],Transactions[Ticker],A14,Transactions[Action],"Buy")/SUMIFS(Transactions[Shares],Transactions[Ticker],A14,Transactions[Action],"Buy"),0))</f>
        <v/>
      </c>
      <c r="H14" s="40" t="str">
        <f t="shared" si="0"/>
        <v/>
      </c>
      <c r="I14" s="40" t="str">
        <f>IFERROR(SUMIFS(Transactions[Total],Transactions[Ticker],A14,Transactions[Action],"Sell")*-1-SUMIFS(Transactions[Shares],Transactions[Ticker],A14,Transactions[Action],"Sell")*G14,"")</f>
        <v/>
      </c>
      <c r="J14" s="40" t="str">
        <f t="shared" si="1"/>
        <v/>
      </c>
      <c r="K14" s="40" t="str">
        <f t="shared" si="2"/>
        <v/>
      </c>
      <c r="L14" s="41" t="str">
        <f>IF(A14="","",IFERROR(K14/(H14+SUMIFS(Transactions[Shares],Transactions[Ticker],A14,Transactions[Action],"Sell")*G14),0))</f>
        <v/>
      </c>
    </row>
    <row r="15" spans="1:12" x14ac:dyDescent="0.2">
      <c r="B15" s="39" t="str">
        <f>IF(Holdings!A15="","",SUMIFS(Transactions[Shares],Transactions[Ticker],Holdings!$A15,Transactions[Action],"Buy")-SUMIFS(Transactions[Shares],Transactions[Ticker],Holdings!$A15,Transactions[Action],"Sell"))</f>
        <v/>
      </c>
      <c r="C15" s="40" t="str">
        <f>IF(Holdings!A15="","",_xlfn.XLOOKUP(Holdings!$A15,Prices!$A$2:$A$100, Prices!$B$2:$B$100))</f>
        <v/>
      </c>
      <c r="D15" s="40" t="str">
        <f>IF(Holdings!B15="","",Holdings!$B15*Holdings!$C15)</f>
        <v/>
      </c>
      <c r="E15" s="39" t="str">
        <f>IF(A15="","",_xlfn.XLOOKUP(Holdings!$A15, Asset_Info!$A$2:$A$100,Asset_Info!$D$2:$D$100))</f>
        <v/>
      </c>
      <c r="F15" s="40" t="str">
        <f>IF(Holdings!A15="","",SUMIFS(Transactions[Total], Transactions[Ticker], Holdings!$A15))</f>
        <v/>
      </c>
      <c r="G15" s="40" t="str">
        <f>IF(A15="","",IFERROR(SUMIFS(Transactions[Total],Transactions[Ticker],A15,Transactions[Action],"Buy")/SUMIFS(Transactions[Shares],Transactions[Ticker],A15,Transactions[Action],"Buy"),0))</f>
        <v/>
      </c>
      <c r="H15" s="40" t="str">
        <f t="shared" si="0"/>
        <v/>
      </c>
      <c r="I15" s="40" t="str">
        <f>IFERROR(SUMIFS(Transactions[Total],Transactions[Ticker],A15,Transactions[Action],"Sell")*-1-SUMIFS(Transactions[Shares],Transactions[Ticker],A15,Transactions[Action],"Sell")*G15,"")</f>
        <v/>
      </c>
      <c r="J15" s="40" t="str">
        <f t="shared" si="1"/>
        <v/>
      </c>
      <c r="K15" s="40" t="str">
        <f t="shared" si="2"/>
        <v/>
      </c>
      <c r="L15" s="41" t="str">
        <f>IF(A15="","",IFERROR(K15/(H15+SUMIFS(Transactions[Shares],Transactions[Ticker],A15,Transactions[Action],"Sell")*G15),0))</f>
        <v/>
      </c>
    </row>
    <row r="16" spans="1:12" x14ac:dyDescent="0.2">
      <c r="B16" s="39" t="str">
        <f>IF(Holdings!A16="","",SUMIFS(Transactions[Shares],Transactions[Ticker],Holdings!$A16,Transactions[Action],"Buy")-SUMIFS(Transactions[Shares],Transactions[Ticker],Holdings!$A16,Transactions[Action],"Sell"))</f>
        <v/>
      </c>
      <c r="C16" s="40" t="str">
        <f>IF(Holdings!A16="","",_xlfn.XLOOKUP(Holdings!$A16,Prices!$A$2:$A$100, Prices!$B$2:$B$100))</f>
        <v/>
      </c>
      <c r="D16" s="40" t="str">
        <f>IF(Holdings!B16="","",Holdings!$B16*Holdings!$C16)</f>
        <v/>
      </c>
      <c r="E16" s="39" t="str">
        <f>IF(A16="","",_xlfn.XLOOKUP(Holdings!$A16, Asset_Info!$A$2:$A$100,Asset_Info!$D$2:$D$100))</f>
        <v/>
      </c>
      <c r="F16" s="40" t="str">
        <f>IF(Holdings!A16="","",SUMIFS(Transactions[Total], Transactions[Ticker], Holdings!$A16))</f>
        <v/>
      </c>
      <c r="G16" s="40" t="str">
        <f>IF(A16="","",IFERROR(SUMIFS(Transactions[Total],Transactions[Ticker],A16,Transactions[Action],"Buy")/SUMIFS(Transactions[Shares],Transactions[Ticker],A16,Transactions[Action],"Buy"),0))</f>
        <v/>
      </c>
      <c r="H16" s="40" t="str">
        <f t="shared" si="0"/>
        <v/>
      </c>
      <c r="I16" s="40" t="str">
        <f>IFERROR(SUMIFS(Transactions[Total],Transactions[Ticker],A16,Transactions[Action],"Sell")*-1-SUMIFS(Transactions[Shares],Transactions[Ticker],A16,Transactions[Action],"Sell")*G16,"")</f>
        <v/>
      </c>
      <c r="J16" s="40" t="str">
        <f t="shared" si="1"/>
        <v/>
      </c>
      <c r="K16" s="40" t="str">
        <f t="shared" si="2"/>
        <v/>
      </c>
      <c r="L16" s="41" t="str">
        <f>IF(A16="","",IFERROR(K16/(H16+SUMIFS(Transactions[Shares],Transactions[Ticker],A16,Transactions[Action],"Sell")*G16),0))</f>
        <v/>
      </c>
    </row>
    <row r="17" spans="2:12" x14ac:dyDescent="0.2">
      <c r="B17" s="39" t="str">
        <f>IF(Holdings!A17="","",SUMIFS(Transactions[Shares],Transactions[Ticker],Holdings!$A17,Transactions[Action],"Buy")-SUMIFS(Transactions[Shares],Transactions[Ticker],Holdings!$A17,Transactions[Action],"Sell"))</f>
        <v/>
      </c>
      <c r="C17" s="40" t="str">
        <f>IF(Holdings!A17="","",_xlfn.XLOOKUP(Holdings!$A17,Prices!$A$2:$A$100, Prices!$B$2:$B$100))</f>
        <v/>
      </c>
      <c r="D17" s="40" t="str">
        <f>IF(Holdings!B17="","",Holdings!$B17*Holdings!$C17)</f>
        <v/>
      </c>
      <c r="E17" s="39" t="str">
        <f>IF(A17="","",_xlfn.XLOOKUP(Holdings!$A17, Asset_Info!$A$2:$A$100,Asset_Info!$D$2:$D$100))</f>
        <v/>
      </c>
      <c r="F17" s="40" t="str">
        <f>IF(Holdings!A17="","",SUMIFS(Transactions[Total], Transactions[Ticker], Holdings!$A17))</f>
        <v/>
      </c>
      <c r="G17" s="40" t="str">
        <f>IF(A17="","",IFERROR(SUMIFS(Transactions[Total],Transactions[Ticker],A17,Transactions[Action],"Buy")/SUMIFS(Transactions[Shares],Transactions[Ticker],A17,Transactions[Action],"Buy"),0))</f>
        <v/>
      </c>
      <c r="H17" s="40" t="str">
        <f t="shared" si="0"/>
        <v/>
      </c>
      <c r="I17" s="40" t="str">
        <f>IFERROR(SUMIFS(Transactions[Total],Transactions[Ticker],A17,Transactions[Action],"Sell")*-1-SUMIFS(Transactions[Shares],Transactions[Ticker],A17,Transactions[Action],"Sell")*G17,"")</f>
        <v/>
      </c>
      <c r="J17" s="40" t="str">
        <f t="shared" si="1"/>
        <v/>
      </c>
      <c r="K17" s="40" t="str">
        <f t="shared" si="2"/>
        <v/>
      </c>
      <c r="L17" s="41" t="str">
        <f>IF(A17="","",IFERROR(K17/(H17+SUMIFS(Transactions[Shares],Transactions[Ticker],A17,Transactions[Action],"Sell")*G17),0))</f>
        <v/>
      </c>
    </row>
    <row r="18" spans="2:12" x14ac:dyDescent="0.2">
      <c r="B18" s="39" t="str">
        <f>IF(Holdings!A18="","",SUMIFS(Transactions[Shares],Transactions[Ticker],Holdings!$A18,Transactions[Action],"Buy")-SUMIFS(Transactions[Shares],Transactions[Ticker],Holdings!$A18,Transactions[Action],"Sell"))</f>
        <v/>
      </c>
      <c r="C18" s="40" t="str">
        <f>IF(Holdings!A18="","",_xlfn.XLOOKUP(Holdings!$A18,Prices!$A$2:$A$100, Prices!$B$2:$B$100))</f>
        <v/>
      </c>
      <c r="D18" s="40" t="str">
        <f>IF(Holdings!B18="","",Holdings!$B18*Holdings!$C18)</f>
        <v/>
      </c>
      <c r="E18" s="39" t="str">
        <f>IF(A18="","",_xlfn.XLOOKUP(Holdings!$A18, Asset_Info!$A$2:$A$100,Asset_Info!$D$2:$D$100))</f>
        <v/>
      </c>
      <c r="F18" s="40" t="str">
        <f>IF(Holdings!A18="","",SUMIFS(Transactions[Total], Transactions[Ticker], Holdings!$A18))</f>
        <v/>
      </c>
      <c r="G18" s="40" t="str">
        <f>IF(A18="","",IFERROR(SUMIFS(Transactions[Total],Transactions[Ticker],A18,Transactions[Action],"Buy")/SUMIFS(Transactions[Shares],Transactions[Ticker],A18,Transactions[Action],"Buy"),0))</f>
        <v/>
      </c>
      <c r="H18" s="40" t="str">
        <f t="shared" si="0"/>
        <v/>
      </c>
      <c r="I18" s="40" t="str">
        <f>IFERROR(SUMIFS(Transactions[Total],Transactions[Ticker],A18,Transactions[Action],"Sell")*-1-SUMIFS(Transactions[Shares],Transactions[Ticker],A18,Transactions[Action],"Sell")*G18,"")</f>
        <v/>
      </c>
      <c r="J18" s="40" t="str">
        <f t="shared" si="1"/>
        <v/>
      </c>
      <c r="K18" s="40" t="str">
        <f t="shared" si="2"/>
        <v/>
      </c>
      <c r="L18" s="41" t="str">
        <f>IF(A18="","",IFERROR(K18/(H18+SUMIFS(Transactions[Shares],Transactions[Ticker],A18,Transactions[Action],"Sell")*G18),0))</f>
        <v/>
      </c>
    </row>
    <row r="19" spans="2:12" x14ac:dyDescent="0.2">
      <c r="B19" s="39" t="str">
        <f>IF(Holdings!A19="","",SUMIFS(Transactions[Shares],Transactions[Ticker],Holdings!$A19,Transactions[Action],"Buy")-SUMIFS(Transactions[Shares],Transactions[Ticker],Holdings!$A19,Transactions[Action],"Sell"))</f>
        <v/>
      </c>
      <c r="C19" s="40" t="str">
        <f>IF(Holdings!A19="","",_xlfn.XLOOKUP(Holdings!$A19,Prices!$A$2:$A$100, Prices!$B$2:$B$100))</f>
        <v/>
      </c>
      <c r="D19" s="40" t="str">
        <f>IF(Holdings!B19="","",Holdings!$B19*Holdings!$C19)</f>
        <v/>
      </c>
      <c r="E19" s="39" t="str">
        <f>IF(A19="","",_xlfn.XLOOKUP(Holdings!$A19, Asset_Info!$A$2:$A$100,Asset_Info!$D$2:$D$100))</f>
        <v/>
      </c>
      <c r="F19" s="40" t="str">
        <f>IF(Holdings!A19="","",SUMIFS(Transactions[Total], Transactions[Ticker], Holdings!$A19))</f>
        <v/>
      </c>
      <c r="G19" s="40" t="str">
        <f>IF(A19="","",IFERROR(SUMIFS(Transactions[Total],Transactions[Ticker],A19,Transactions[Action],"Buy")/SUMIFS(Transactions[Shares],Transactions[Ticker],A19,Transactions[Action],"Buy"),0))</f>
        <v/>
      </c>
      <c r="H19" s="40" t="str">
        <f t="shared" si="0"/>
        <v/>
      </c>
      <c r="I19" s="40" t="str">
        <f>IFERROR(SUMIFS(Transactions[Total],Transactions[Ticker],A19,Transactions[Action],"Sell")*-1-SUMIFS(Transactions[Shares],Transactions[Ticker],A19,Transactions[Action],"Sell")*G19,"")</f>
        <v/>
      </c>
      <c r="J19" s="40" t="str">
        <f t="shared" si="1"/>
        <v/>
      </c>
      <c r="K19" s="40" t="str">
        <f t="shared" si="2"/>
        <v/>
      </c>
      <c r="L19" s="41" t="str">
        <f>IF(A19="","",IFERROR(K19/(H19+SUMIFS(Transactions[Shares],Transactions[Ticker],A19,Transactions[Action],"Sell")*G19),0))</f>
        <v/>
      </c>
    </row>
    <row r="20" spans="2:12" x14ac:dyDescent="0.2">
      <c r="B20" s="39" t="str">
        <f>IF(Holdings!A20="","",SUMIFS(Transactions[Shares],Transactions[Ticker],Holdings!$A20,Transactions[Action],"Buy")-SUMIFS(Transactions[Shares],Transactions[Ticker],Holdings!$A20,Transactions[Action],"Sell"))</f>
        <v/>
      </c>
      <c r="C20" s="40" t="str">
        <f>IF(Holdings!A20="","",_xlfn.XLOOKUP(Holdings!$A20,Prices!$A$2:$A$100, Prices!$B$2:$B$100))</f>
        <v/>
      </c>
      <c r="D20" s="40" t="str">
        <f>IF(Holdings!B20="","",Holdings!$B20*Holdings!$C20)</f>
        <v/>
      </c>
      <c r="E20" s="39" t="str">
        <f>IF(A20="","",_xlfn.XLOOKUP(Holdings!$A20, Asset_Info!$A$2:$A$100,Asset_Info!$D$2:$D$100))</f>
        <v/>
      </c>
      <c r="F20" s="40" t="str">
        <f>IF(Holdings!A20="","",SUMIFS(Transactions[Total], Transactions[Ticker], Holdings!$A20))</f>
        <v/>
      </c>
      <c r="G20" s="40" t="str">
        <f>IF(A20="","",IFERROR(SUMIFS(Transactions[Total],Transactions[Ticker],A20,Transactions[Action],"Buy")/SUMIFS(Transactions[Shares],Transactions[Ticker],A20,Transactions[Action],"Buy"),0))</f>
        <v/>
      </c>
      <c r="H20" s="40" t="str">
        <f t="shared" si="0"/>
        <v/>
      </c>
      <c r="I20" s="40" t="str">
        <f>IFERROR(SUMIFS(Transactions[Total],Transactions[Ticker],A20,Transactions[Action],"Sell")*-1-SUMIFS(Transactions[Shares],Transactions[Ticker],A20,Transactions[Action],"Sell")*G20,"")</f>
        <v/>
      </c>
      <c r="J20" s="40" t="str">
        <f t="shared" si="1"/>
        <v/>
      </c>
      <c r="K20" s="40" t="str">
        <f t="shared" si="2"/>
        <v/>
      </c>
      <c r="L20" s="41" t="str">
        <f>IF(A20="","",IFERROR(K20/(H20+SUMIFS(Transactions[Shares],Transactions[Ticker],A20,Transactions[Action],"Sell")*G20),0))</f>
        <v/>
      </c>
    </row>
    <row r="21" spans="2:12" x14ac:dyDescent="0.2">
      <c r="B21" s="39" t="str">
        <f>IF(Holdings!A21="","",SUMIFS(Transactions[Shares],Transactions[Ticker],Holdings!$A21,Transactions[Action],"Buy")-SUMIFS(Transactions[Shares],Transactions[Ticker],Holdings!$A21,Transactions[Action],"Sell"))</f>
        <v/>
      </c>
      <c r="C21" s="40" t="str">
        <f>IF(Holdings!A21="","",_xlfn.XLOOKUP(Holdings!$A21,Prices!$A$2:$A$100, Prices!$B$2:$B$100))</f>
        <v/>
      </c>
      <c r="D21" s="40" t="str">
        <f>IF(Holdings!B21="","",Holdings!$B21*Holdings!$C21)</f>
        <v/>
      </c>
      <c r="E21" s="39" t="str">
        <f>IF(A21="","",_xlfn.XLOOKUP(Holdings!$A21, Asset_Info!$A$2:$A$100,Asset_Info!$D$2:$D$100))</f>
        <v/>
      </c>
      <c r="F21" s="40" t="str">
        <f>IF(Holdings!A21="","",SUMIFS(Transactions[Total], Transactions[Ticker], Holdings!$A21))</f>
        <v/>
      </c>
      <c r="G21" s="40" t="str">
        <f>IF(A21="","",IFERROR(SUMIFS(Transactions[Total],Transactions[Ticker],A21,Transactions[Action],"Buy")/SUMIFS(Transactions[Shares],Transactions[Ticker],A21,Transactions[Action],"Buy"),0))</f>
        <v/>
      </c>
      <c r="H21" s="40" t="str">
        <f t="shared" si="0"/>
        <v/>
      </c>
      <c r="I21" s="40" t="str">
        <f>IFERROR(SUMIFS(Transactions[Total],Transactions[Ticker],A21,Transactions[Action],"Sell")*-1-SUMIFS(Transactions[Shares],Transactions[Ticker],A21,Transactions[Action],"Sell")*G21,"")</f>
        <v/>
      </c>
      <c r="J21" s="40" t="str">
        <f t="shared" si="1"/>
        <v/>
      </c>
      <c r="K21" s="40" t="str">
        <f t="shared" si="2"/>
        <v/>
      </c>
      <c r="L21" s="41" t="str">
        <f>IF(A21="","",IFERROR(K21/(H21+SUMIFS(Transactions[Shares],Transactions[Ticker],A21,Transactions[Action],"Sell")*G21),0))</f>
        <v/>
      </c>
    </row>
    <row r="22" spans="2:12" x14ac:dyDescent="0.2">
      <c r="B22" s="39" t="str">
        <f>IF(Holdings!A22="","",SUMIFS(Transactions[Shares],Transactions[Ticker],Holdings!$A22,Transactions[Action],"Buy")-SUMIFS(Transactions[Shares],Transactions[Ticker],Holdings!$A22,Transactions[Action],"Sell"))</f>
        <v/>
      </c>
      <c r="C22" s="40" t="str">
        <f>IF(Holdings!A22="","",_xlfn.XLOOKUP(Holdings!$A22,Prices!$A$2:$A$100, Prices!$B$2:$B$100))</f>
        <v/>
      </c>
      <c r="D22" s="40" t="str">
        <f>IF(Holdings!B22="","",Holdings!$B22*Holdings!$C22)</f>
        <v/>
      </c>
      <c r="E22" s="39" t="str">
        <f>IF(A22="","",_xlfn.XLOOKUP(Holdings!$A22, Asset_Info!$A$2:$A$100,Asset_Info!$D$2:$D$100))</f>
        <v/>
      </c>
      <c r="F22" s="40" t="str">
        <f>IF(Holdings!A22="","",SUMIFS(Transactions[Total], Transactions[Ticker], Holdings!$A22))</f>
        <v/>
      </c>
      <c r="G22" s="40" t="str">
        <f>IF(A22="","",IFERROR(SUMIFS(Transactions[Total],Transactions[Ticker],A22,Transactions[Action],"Buy")/SUMIFS(Transactions[Shares],Transactions[Ticker],A22,Transactions[Action],"Buy"),0))</f>
        <v/>
      </c>
      <c r="H22" s="40" t="str">
        <f t="shared" si="0"/>
        <v/>
      </c>
      <c r="I22" s="40" t="str">
        <f>IFERROR(SUMIFS(Transactions[Total],Transactions[Ticker],A22,Transactions[Action],"Sell")*-1-SUMIFS(Transactions[Shares],Transactions[Ticker],A22,Transactions[Action],"Sell")*G22,"")</f>
        <v/>
      </c>
      <c r="J22" s="40" t="str">
        <f t="shared" si="1"/>
        <v/>
      </c>
      <c r="K22" s="40" t="str">
        <f t="shared" si="2"/>
        <v/>
      </c>
      <c r="L22" s="41" t="str">
        <f>IF(A22="","",IFERROR(K22/(H22+SUMIFS(Transactions[Shares],Transactions[Ticker],A22,Transactions[Action],"Sell")*G22),0))</f>
        <v/>
      </c>
    </row>
    <row r="23" spans="2:12" x14ac:dyDescent="0.2">
      <c r="B23" s="39" t="str">
        <f>IF(Holdings!A23="","",SUMIFS(Transactions[Shares],Transactions[Ticker],Holdings!$A23,Transactions[Action],"Buy")-SUMIFS(Transactions[Shares],Transactions[Ticker],Holdings!$A23,Transactions[Action],"Sell"))</f>
        <v/>
      </c>
      <c r="C23" s="40" t="str">
        <f>IF(Holdings!A23="","",_xlfn.XLOOKUP(Holdings!$A23,Prices!$A$2:$A$100, Prices!$B$2:$B$100))</f>
        <v/>
      </c>
      <c r="D23" s="40" t="str">
        <f>IF(Holdings!B23="","",Holdings!$B23*Holdings!$C23)</f>
        <v/>
      </c>
      <c r="E23" s="39" t="str">
        <f>IF(A23="","",_xlfn.XLOOKUP(Holdings!$A23, Asset_Info!$A$2:$A$100,Asset_Info!$D$2:$D$100))</f>
        <v/>
      </c>
      <c r="F23" s="40" t="str">
        <f>IF(Holdings!A23="","",SUMIFS(Transactions[Total], Transactions[Ticker], Holdings!$A23))</f>
        <v/>
      </c>
      <c r="G23" s="40" t="str">
        <f>IF(A23="","",IFERROR(SUMIFS(Transactions[Total],Transactions[Ticker],A23,Transactions[Action],"Buy")/SUMIFS(Transactions[Shares],Transactions[Ticker],A23,Transactions[Action],"Buy"),0))</f>
        <v/>
      </c>
      <c r="H23" s="40" t="str">
        <f t="shared" si="0"/>
        <v/>
      </c>
      <c r="I23" s="40" t="str">
        <f>IFERROR(SUMIFS(Transactions[Total],Transactions[Ticker],A23,Transactions[Action],"Sell")*-1-SUMIFS(Transactions[Shares],Transactions[Ticker],A23,Transactions[Action],"Sell")*G23,"")</f>
        <v/>
      </c>
      <c r="J23" s="40" t="str">
        <f t="shared" si="1"/>
        <v/>
      </c>
      <c r="K23" s="40" t="str">
        <f t="shared" si="2"/>
        <v/>
      </c>
      <c r="L23" s="41" t="str">
        <f>IF(A23="","",IFERROR(K23/(H23+SUMIFS(Transactions[Shares],Transactions[Ticker],A23,Transactions[Action],"Sell")*G23),0))</f>
        <v/>
      </c>
    </row>
    <row r="24" spans="2:12" x14ac:dyDescent="0.2">
      <c r="B24" s="39" t="str">
        <f>IF(Holdings!A24="","",SUMIFS(Transactions[Shares],Transactions[Ticker],Holdings!$A24,Transactions[Action],"Buy")-SUMIFS(Transactions[Shares],Transactions[Ticker],Holdings!$A24,Transactions[Action],"Sell"))</f>
        <v/>
      </c>
      <c r="C24" s="40" t="str">
        <f>IF(Holdings!A24="","",_xlfn.XLOOKUP(Holdings!$A24,Prices!$A$2:$A$100, Prices!$B$2:$B$100))</f>
        <v/>
      </c>
      <c r="D24" s="40" t="str">
        <f>IF(Holdings!B24="","",Holdings!$B24*Holdings!$C24)</f>
        <v/>
      </c>
      <c r="E24" s="39" t="str">
        <f>IF(A24="","",_xlfn.XLOOKUP(Holdings!$A24, Asset_Info!$A$2:$A$100,Asset_Info!$D$2:$D$100))</f>
        <v/>
      </c>
      <c r="F24" s="40" t="str">
        <f>IF(Holdings!A24="","",SUMIFS(Transactions[Total], Transactions[Ticker], Holdings!$A24))</f>
        <v/>
      </c>
      <c r="G24" s="40" t="str">
        <f>IF(A24="","",IFERROR(SUMIFS(Transactions[Total],Transactions[Ticker],A24,Transactions[Action],"Buy")/SUMIFS(Transactions[Shares],Transactions[Ticker],A24,Transactions[Action],"Buy"),0))</f>
        <v/>
      </c>
      <c r="H24" s="40" t="str">
        <f t="shared" si="0"/>
        <v/>
      </c>
      <c r="I24" s="40" t="str">
        <f>IFERROR(SUMIFS(Transactions[Total],Transactions[Ticker],A24,Transactions[Action],"Sell")*-1-SUMIFS(Transactions[Shares],Transactions[Ticker],A24,Transactions[Action],"Sell")*G24,"")</f>
        <v/>
      </c>
      <c r="J24" s="40" t="str">
        <f t="shared" si="1"/>
        <v/>
      </c>
      <c r="K24" s="40" t="str">
        <f t="shared" si="2"/>
        <v/>
      </c>
      <c r="L24" s="41" t="str">
        <f>IF(A24="","",IFERROR(K24/(H24+SUMIFS(Transactions[Shares],Transactions[Ticker],A24,Transactions[Action],"Sell")*G24),0))</f>
        <v/>
      </c>
    </row>
    <row r="25" spans="2:12" x14ac:dyDescent="0.2">
      <c r="B25" s="39" t="str">
        <f>IF(Holdings!A25="","",SUMIFS(Transactions[Shares],Transactions[Ticker],Holdings!$A25,Transactions[Action],"Buy")-SUMIFS(Transactions[Shares],Transactions[Ticker],Holdings!$A25,Transactions[Action],"Sell"))</f>
        <v/>
      </c>
      <c r="C25" s="40" t="str">
        <f>IF(Holdings!A25="","",_xlfn.XLOOKUP(Holdings!$A25,Prices!$A$2:$A$100, Prices!$B$2:$B$100))</f>
        <v/>
      </c>
      <c r="D25" s="40" t="str">
        <f>IF(Holdings!B25="","",Holdings!$B25*Holdings!$C25)</f>
        <v/>
      </c>
      <c r="E25" s="39" t="str">
        <f>IF(A25="","",_xlfn.XLOOKUP(Holdings!$A25, Asset_Info!$A$2:$A$100,Asset_Info!$D$2:$D$100))</f>
        <v/>
      </c>
      <c r="F25" s="40" t="str">
        <f>IF(Holdings!A25="","",SUMIFS(Transactions[Total], Transactions[Ticker], Holdings!$A25))</f>
        <v/>
      </c>
      <c r="G25" s="40" t="str">
        <f>IF(A25="","",IFERROR(SUMIFS(Transactions[Total],Transactions[Ticker],A25,Transactions[Action],"Buy")/SUMIFS(Transactions[Shares],Transactions[Ticker],A25,Transactions[Action],"Buy"),0))</f>
        <v/>
      </c>
      <c r="H25" s="40" t="str">
        <f t="shared" si="0"/>
        <v/>
      </c>
      <c r="I25" s="40" t="str">
        <f>IFERROR(SUMIFS(Transactions[Total],Transactions[Ticker],A25,Transactions[Action],"Sell")*-1-SUMIFS(Transactions[Shares],Transactions[Ticker],A25,Transactions[Action],"Sell")*G25,"")</f>
        <v/>
      </c>
      <c r="J25" s="40" t="str">
        <f t="shared" si="1"/>
        <v/>
      </c>
      <c r="K25" s="40" t="str">
        <f t="shared" si="2"/>
        <v/>
      </c>
      <c r="L25" s="41" t="str">
        <f>IF(A25="","",IFERROR(K25/(H25+SUMIFS(Transactions[Shares],Transactions[Ticker],A25,Transactions[Action],"Sell")*G25),0))</f>
        <v/>
      </c>
    </row>
    <row r="26" spans="2:12" x14ac:dyDescent="0.2">
      <c r="B26" s="39" t="str">
        <f>IF(Holdings!A26="","",SUMIFS(Transactions[Shares],Transactions[Ticker],Holdings!$A26,Transactions[Action],"Buy")-SUMIFS(Transactions[Shares],Transactions[Ticker],Holdings!$A26,Transactions[Action],"Sell"))</f>
        <v/>
      </c>
      <c r="C26" s="40" t="str">
        <f>IF(Holdings!A26="","",_xlfn.XLOOKUP(Holdings!$A26,Prices!$A$2:$A$100, Prices!$B$2:$B$100))</f>
        <v/>
      </c>
      <c r="D26" s="40" t="str">
        <f>IF(Holdings!B26="","",Holdings!$B26*Holdings!$C26)</f>
        <v/>
      </c>
      <c r="E26" s="39" t="str">
        <f>IF(A26="","",_xlfn.XLOOKUP(Holdings!$A26, Asset_Info!$A$2:$A$100,Asset_Info!$D$2:$D$100))</f>
        <v/>
      </c>
      <c r="F26" s="40" t="str">
        <f>IF(Holdings!A26="","",SUMIFS(Transactions[Total], Transactions[Ticker], Holdings!$A26))</f>
        <v/>
      </c>
      <c r="G26" s="40" t="str">
        <f>IF(A26="","",IFERROR(SUMIFS(Transactions[Total],Transactions[Ticker],A26,Transactions[Action],"Buy")/SUMIFS(Transactions[Shares],Transactions[Ticker],A26,Transactions[Action],"Buy"),0))</f>
        <v/>
      </c>
      <c r="H26" s="40" t="str">
        <f t="shared" si="0"/>
        <v/>
      </c>
      <c r="I26" s="40" t="str">
        <f>IFERROR(SUMIFS(Transactions[Total],Transactions[Ticker],A26,Transactions[Action],"Sell")*-1-SUMIFS(Transactions[Shares],Transactions[Ticker],A26,Transactions[Action],"Sell")*G26,"")</f>
        <v/>
      </c>
      <c r="J26" s="40" t="str">
        <f t="shared" si="1"/>
        <v/>
      </c>
      <c r="K26" s="40" t="str">
        <f t="shared" si="2"/>
        <v/>
      </c>
      <c r="L26" s="41" t="str">
        <f>IF(A26="","",IFERROR(K26/(H26+SUMIFS(Transactions[Shares],Transactions[Ticker],A26,Transactions[Action],"Sell")*G26),0))</f>
        <v/>
      </c>
    </row>
    <row r="27" spans="2:12" x14ac:dyDescent="0.2">
      <c r="B27" s="39" t="str">
        <f>IF(Holdings!A27="","",SUMIFS(Transactions[Shares],Transactions[Ticker],Holdings!$A27,Transactions[Action],"Buy")-SUMIFS(Transactions[Shares],Transactions[Ticker],Holdings!$A27,Transactions[Action],"Sell"))</f>
        <v/>
      </c>
      <c r="C27" s="40" t="str">
        <f>IF(Holdings!A27="","",_xlfn.XLOOKUP(Holdings!$A27,Prices!$A$2:$A$100, Prices!$B$2:$B$100))</f>
        <v/>
      </c>
      <c r="D27" s="40" t="str">
        <f>IF(Holdings!B27="","",Holdings!$B27*Holdings!$C27)</f>
        <v/>
      </c>
      <c r="E27" s="39" t="str">
        <f>IF(A27="","",_xlfn.XLOOKUP(Holdings!$A27, Asset_Info!$A$2:$A$100,Asset_Info!$D$2:$D$100))</f>
        <v/>
      </c>
      <c r="F27" s="40" t="str">
        <f>IF(Holdings!A27="","",SUMIFS(Transactions[Total], Transactions[Ticker], Holdings!$A27))</f>
        <v/>
      </c>
      <c r="G27" s="40" t="str">
        <f>IF(A27="","",IFERROR(SUMIFS(Transactions[Total],Transactions[Ticker],A27,Transactions[Action],"Buy")/SUMIFS(Transactions[Shares],Transactions[Ticker],A27,Transactions[Action],"Buy"),0))</f>
        <v/>
      </c>
      <c r="H27" s="40" t="str">
        <f t="shared" si="0"/>
        <v/>
      </c>
      <c r="I27" s="40" t="str">
        <f>IFERROR(SUMIFS(Transactions[Total],Transactions[Ticker],A27,Transactions[Action],"Sell")*-1-SUMIFS(Transactions[Shares],Transactions[Ticker],A27,Transactions[Action],"Sell")*G27,"")</f>
        <v/>
      </c>
      <c r="J27" s="40" t="str">
        <f t="shared" si="1"/>
        <v/>
      </c>
      <c r="K27" s="40" t="str">
        <f t="shared" si="2"/>
        <v/>
      </c>
      <c r="L27" s="41" t="str">
        <f>IF(A27="","",IFERROR(K27/(H27+SUMIFS(Transactions[Shares],Transactions[Ticker],A27,Transactions[Action],"Sell")*G27),0))</f>
        <v/>
      </c>
    </row>
    <row r="28" spans="2:12" x14ac:dyDescent="0.2">
      <c r="B28" s="39" t="str">
        <f>IF(Holdings!A28="","",SUMIFS(Transactions[Shares],Transactions[Ticker],Holdings!$A28,Transactions[Action],"Buy")-SUMIFS(Transactions[Shares],Transactions[Ticker],Holdings!$A28,Transactions[Action],"Sell"))</f>
        <v/>
      </c>
      <c r="C28" s="40" t="str">
        <f>IF(Holdings!A28="","",_xlfn.XLOOKUP(Holdings!$A28,Prices!$A$2:$A$100, Prices!$B$2:$B$100))</f>
        <v/>
      </c>
      <c r="D28" s="40" t="str">
        <f>IF(Holdings!B28="","",Holdings!$B28*Holdings!$C28)</f>
        <v/>
      </c>
      <c r="E28" s="39" t="str">
        <f>IF(A28="","",_xlfn.XLOOKUP(Holdings!$A28, Asset_Info!$A$2:$A$100,Asset_Info!$D$2:$D$100))</f>
        <v/>
      </c>
      <c r="F28" s="40" t="str">
        <f>IF(Holdings!A28="","",SUMIFS(Transactions[Total], Transactions[Ticker], Holdings!$A28))</f>
        <v/>
      </c>
      <c r="G28" s="40" t="str">
        <f>IF(A28="","",IFERROR(SUMIFS(Transactions[Total],Transactions[Ticker],A28,Transactions[Action],"Buy")/SUMIFS(Transactions[Shares],Transactions[Ticker],A28,Transactions[Action],"Buy"),0))</f>
        <v/>
      </c>
      <c r="H28" s="40" t="str">
        <f t="shared" si="0"/>
        <v/>
      </c>
      <c r="I28" s="40" t="str">
        <f>IFERROR(SUMIFS(Transactions[Total],Transactions[Ticker],A28,Transactions[Action],"Sell")*-1-SUMIFS(Transactions[Shares],Transactions[Ticker],A28,Transactions[Action],"Sell")*G28,"")</f>
        <v/>
      </c>
      <c r="J28" s="40" t="str">
        <f t="shared" si="1"/>
        <v/>
      </c>
      <c r="K28" s="40" t="str">
        <f t="shared" si="2"/>
        <v/>
      </c>
      <c r="L28" s="41" t="str">
        <f>IF(A28="","",IFERROR(K28/(H28+SUMIFS(Transactions[Shares],Transactions[Ticker],A28,Transactions[Action],"Sell")*G28),0))</f>
        <v/>
      </c>
    </row>
    <row r="29" spans="2:12" x14ac:dyDescent="0.2">
      <c r="B29" s="39" t="str">
        <f>IF(Holdings!A29="","",SUMIFS(Transactions[Shares],Transactions[Ticker],Holdings!$A29,Transactions[Action],"Buy")-SUMIFS(Transactions[Shares],Transactions[Ticker],Holdings!$A29,Transactions[Action],"Sell"))</f>
        <v/>
      </c>
      <c r="C29" s="40" t="str">
        <f>IF(Holdings!A29="","",_xlfn.XLOOKUP(Holdings!$A29,Prices!$A$2:$A$100, Prices!$B$2:$B$100))</f>
        <v/>
      </c>
      <c r="D29" s="40" t="str">
        <f>IF(Holdings!B29="","",Holdings!$B29*Holdings!$C29)</f>
        <v/>
      </c>
      <c r="E29" s="39" t="str">
        <f>IF(A29="","",_xlfn.XLOOKUP(Holdings!$A29, Asset_Info!$A$2:$A$100,Asset_Info!$D$2:$D$100))</f>
        <v/>
      </c>
      <c r="F29" s="40" t="str">
        <f>IF(Holdings!A29="","",SUMIFS(Transactions[Total], Transactions[Ticker], Holdings!$A29))</f>
        <v/>
      </c>
      <c r="G29" s="40" t="str">
        <f>IF(A29="","",IFERROR(SUMIFS(Transactions[Total],Transactions[Ticker],A29,Transactions[Action],"Buy")/SUMIFS(Transactions[Shares],Transactions[Ticker],A29,Transactions[Action],"Buy"),0))</f>
        <v/>
      </c>
      <c r="H29" s="40" t="str">
        <f t="shared" si="0"/>
        <v/>
      </c>
      <c r="I29" s="40" t="str">
        <f>IFERROR(SUMIFS(Transactions[Total],Transactions[Ticker],A29,Transactions[Action],"Sell")*-1-SUMIFS(Transactions[Shares],Transactions[Ticker],A29,Transactions[Action],"Sell")*G29,"")</f>
        <v/>
      </c>
      <c r="J29" s="40" t="str">
        <f t="shared" si="1"/>
        <v/>
      </c>
      <c r="K29" s="40" t="str">
        <f t="shared" si="2"/>
        <v/>
      </c>
      <c r="L29" s="41" t="str">
        <f>IF(A29="","",IFERROR(K29/(H29+SUMIFS(Transactions[Shares],Transactions[Ticker],A29,Transactions[Action],"Sell")*G29),0))</f>
        <v/>
      </c>
    </row>
    <row r="30" spans="2:12" x14ac:dyDescent="0.2">
      <c r="B30" s="39" t="str">
        <f>IF(Holdings!A30="","",SUMIFS(Transactions[Shares],Transactions[Ticker],Holdings!$A30,Transactions[Action],"Buy")-SUMIFS(Transactions[Shares],Transactions[Ticker],Holdings!$A30,Transactions[Action],"Sell"))</f>
        <v/>
      </c>
      <c r="C30" s="40" t="str">
        <f>IF(Holdings!A30="","",_xlfn.XLOOKUP(Holdings!$A30,Prices!$A$2:$A$100, Prices!$B$2:$B$100))</f>
        <v/>
      </c>
      <c r="D30" s="40" t="str">
        <f>IF(Holdings!B30="","",Holdings!$B30*Holdings!$C30)</f>
        <v/>
      </c>
      <c r="E30" s="39" t="str">
        <f>IF(A30="","",_xlfn.XLOOKUP(Holdings!$A30, Asset_Info!$A$2:$A$100,Asset_Info!$D$2:$D$100))</f>
        <v/>
      </c>
      <c r="F30" s="40" t="str">
        <f>IF(Holdings!A30="","",SUMIFS(Transactions[Total], Transactions[Ticker], Holdings!$A30))</f>
        <v/>
      </c>
      <c r="G30" s="40" t="str">
        <f>IF(A30="","",IFERROR(SUMIFS(Transactions[Total],Transactions[Ticker],A30,Transactions[Action],"Buy")/SUMIFS(Transactions[Shares],Transactions[Ticker],A30,Transactions[Action],"Buy"),0))</f>
        <v/>
      </c>
      <c r="H30" s="40" t="str">
        <f t="shared" si="0"/>
        <v/>
      </c>
      <c r="I30" s="40" t="str">
        <f>IFERROR(SUMIFS(Transactions[Total],Transactions[Ticker],A30,Transactions[Action],"Sell")*-1-SUMIFS(Transactions[Shares],Transactions[Ticker],A30,Transactions[Action],"Sell")*G30,"")</f>
        <v/>
      </c>
      <c r="J30" s="40" t="str">
        <f t="shared" si="1"/>
        <v/>
      </c>
      <c r="K30" s="40" t="str">
        <f t="shared" si="2"/>
        <v/>
      </c>
      <c r="L30" s="41" t="str">
        <f>IF(A30="","",IFERROR(K30/(H30+SUMIFS(Transactions[Shares],Transactions[Ticker],A30,Transactions[Action],"Sell")*G30),0))</f>
        <v/>
      </c>
    </row>
    <row r="31" spans="2:12" x14ac:dyDescent="0.2">
      <c r="B31" s="39" t="str">
        <f>IF(Holdings!A31="","",SUMIFS(Transactions[Shares],Transactions[Ticker],Holdings!$A31,Transactions[Action],"Buy")-SUMIFS(Transactions[Shares],Transactions[Ticker],Holdings!$A31,Transactions[Action],"Sell"))</f>
        <v/>
      </c>
      <c r="C31" s="40" t="str">
        <f>IF(Holdings!A31="","",_xlfn.XLOOKUP(Holdings!$A31,Prices!$A$2:$A$100, Prices!$B$2:$B$100))</f>
        <v/>
      </c>
      <c r="D31" s="40" t="str">
        <f>IF(Holdings!B31="","",Holdings!$B31*Holdings!$C31)</f>
        <v/>
      </c>
      <c r="E31" s="39" t="str">
        <f>IF(A31="","",_xlfn.XLOOKUP(Holdings!$A31, Asset_Info!$A$2:$A$100,Asset_Info!$D$2:$D$100))</f>
        <v/>
      </c>
      <c r="F31" s="40" t="str">
        <f>IF(Holdings!A31="","",SUMIFS(Transactions[Total], Transactions[Ticker], Holdings!$A31))</f>
        <v/>
      </c>
      <c r="G31" s="40" t="str">
        <f>IF(A31="","",IFERROR(SUMIFS(Transactions[Total],Transactions[Ticker],A31,Transactions[Action],"Buy")/SUMIFS(Transactions[Shares],Transactions[Ticker],A31,Transactions[Action],"Buy"),0))</f>
        <v/>
      </c>
      <c r="H31" s="40" t="str">
        <f t="shared" si="0"/>
        <v/>
      </c>
      <c r="I31" s="40" t="str">
        <f>IFERROR(SUMIFS(Transactions[Total],Transactions[Ticker],A31,Transactions[Action],"Sell")*-1-SUMIFS(Transactions[Shares],Transactions[Ticker],A31,Transactions[Action],"Sell")*G31,"")</f>
        <v/>
      </c>
      <c r="J31" s="40" t="str">
        <f t="shared" si="1"/>
        <v/>
      </c>
      <c r="K31" s="40" t="str">
        <f t="shared" si="2"/>
        <v/>
      </c>
      <c r="L31" s="41" t="str">
        <f>IF(A31="","",IFERROR(K31/(H31+SUMIFS(Transactions[Shares],Transactions[Ticker],A31,Transactions[Action],"Sell")*G31),0))</f>
        <v/>
      </c>
    </row>
    <row r="32" spans="2:12" x14ac:dyDescent="0.2">
      <c r="B32" s="39" t="str">
        <f>IF(Holdings!A32="","",SUMIFS(Transactions[Shares],Transactions[Ticker],Holdings!$A32,Transactions[Action],"Buy")-SUMIFS(Transactions[Shares],Transactions[Ticker],Holdings!$A32,Transactions[Action],"Sell"))</f>
        <v/>
      </c>
      <c r="C32" s="40" t="str">
        <f>IF(Holdings!A32="","",_xlfn.XLOOKUP(Holdings!$A32,Prices!$A$2:$A$100, Prices!$B$2:$B$100))</f>
        <v/>
      </c>
      <c r="D32" s="40" t="str">
        <f>IF(Holdings!B32="","",Holdings!$B32*Holdings!$C32)</f>
        <v/>
      </c>
      <c r="E32" s="39" t="str">
        <f>IF(A32="","",_xlfn.XLOOKUP(Holdings!$A32, Asset_Info!$A$2:$A$100,Asset_Info!$D$2:$D$100))</f>
        <v/>
      </c>
      <c r="F32" s="40" t="str">
        <f>IF(Holdings!A32="","",SUMIFS(Transactions[Total], Transactions[Ticker], Holdings!$A32))</f>
        <v/>
      </c>
      <c r="G32" s="40" t="str">
        <f>IF(A32="","",IFERROR(SUMIFS(Transactions[Total],Transactions[Ticker],A32,Transactions[Action],"Buy")/SUMIFS(Transactions[Shares],Transactions[Ticker],A32,Transactions[Action],"Buy"),0))</f>
        <v/>
      </c>
      <c r="H32" s="40" t="str">
        <f t="shared" si="0"/>
        <v/>
      </c>
      <c r="I32" s="40" t="str">
        <f>IFERROR(SUMIFS(Transactions[Total],Transactions[Ticker],A32,Transactions[Action],"Sell")*-1-SUMIFS(Transactions[Shares],Transactions[Ticker],A32,Transactions[Action],"Sell")*G32,"")</f>
        <v/>
      </c>
      <c r="J32" s="40" t="str">
        <f t="shared" si="1"/>
        <v/>
      </c>
      <c r="K32" s="40" t="str">
        <f t="shared" si="2"/>
        <v/>
      </c>
      <c r="L32" s="41" t="str">
        <f>IF(A32="","",IFERROR(K32/(H32+SUMIFS(Transactions[Shares],Transactions[Ticker],A32,Transactions[Action],"Sell")*G32),0))</f>
        <v/>
      </c>
    </row>
    <row r="33" spans="2:12" x14ac:dyDescent="0.2">
      <c r="B33" s="39" t="str">
        <f>IF(Holdings!A33="","",SUMIFS(Transactions[Shares],Transactions[Ticker],Holdings!$A33,Transactions[Action],"Buy")-SUMIFS(Transactions[Shares],Transactions[Ticker],Holdings!$A33,Transactions[Action],"Sell"))</f>
        <v/>
      </c>
      <c r="C33" s="40" t="str">
        <f>IF(Holdings!A33="","",_xlfn.XLOOKUP(Holdings!$A33,Prices!$A$2:$A$100, Prices!$B$2:$B$100))</f>
        <v/>
      </c>
      <c r="D33" s="40" t="str">
        <f>IF(Holdings!B33="","",Holdings!$B33*Holdings!$C33)</f>
        <v/>
      </c>
      <c r="E33" s="39" t="str">
        <f>IF(A33="","",_xlfn.XLOOKUP(Holdings!$A33, Asset_Info!$A$2:$A$100,Asset_Info!$D$2:$D$100))</f>
        <v/>
      </c>
      <c r="F33" s="40" t="str">
        <f>IF(Holdings!A33="","",SUMIFS(Transactions[Total], Transactions[Ticker], Holdings!$A33))</f>
        <v/>
      </c>
      <c r="G33" s="40" t="str">
        <f>IF(A33="","",IFERROR(SUMIFS(Transactions[Total],Transactions[Ticker],A33,Transactions[Action],"Buy")/SUMIFS(Transactions[Shares],Transactions[Ticker],A33,Transactions[Action],"Buy"),0))</f>
        <v/>
      </c>
      <c r="H33" s="40" t="str">
        <f t="shared" si="0"/>
        <v/>
      </c>
      <c r="I33" s="40" t="str">
        <f>IFERROR(SUMIFS(Transactions[Total],Transactions[Ticker],A33,Transactions[Action],"Sell")*-1-SUMIFS(Transactions[Shares],Transactions[Ticker],A33,Transactions[Action],"Sell")*G33,"")</f>
        <v/>
      </c>
      <c r="J33" s="40" t="str">
        <f t="shared" si="1"/>
        <v/>
      </c>
      <c r="K33" s="40" t="str">
        <f t="shared" si="2"/>
        <v/>
      </c>
      <c r="L33" s="41" t="str">
        <f>IF(A33="","",IFERROR(K33/(H33+SUMIFS(Transactions[Shares],Transactions[Ticker],A33,Transactions[Action],"Sell")*G33),0))</f>
        <v/>
      </c>
    </row>
    <row r="34" spans="2:12" x14ac:dyDescent="0.2">
      <c r="B34" s="39" t="str">
        <f>IF(Holdings!A34="","",SUMIFS(Transactions[Shares],Transactions[Ticker],Holdings!$A34,Transactions[Action],"Buy")-SUMIFS(Transactions[Shares],Transactions[Ticker],Holdings!$A34,Transactions[Action],"Sell"))</f>
        <v/>
      </c>
      <c r="C34" s="40" t="str">
        <f>IF(Holdings!A34="","",_xlfn.XLOOKUP(Holdings!$A34,Prices!$A$2:$A$100, Prices!$B$2:$B$100))</f>
        <v/>
      </c>
      <c r="D34" s="40" t="str">
        <f>IF(Holdings!B34="","",Holdings!$B34*Holdings!$C34)</f>
        <v/>
      </c>
      <c r="E34" s="39" t="str">
        <f>IF(A34="","",_xlfn.XLOOKUP(Holdings!$A34, Asset_Info!$A$2:$A$100,Asset_Info!$D$2:$D$100))</f>
        <v/>
      </c>
      <c r="F34" s="40" t="str">
        <f>IF(Holdings!A34="","",SUMIFS(Transactions[Total], Transactions[Ticker], Holdings!$A34))</f>
        <v/>
      </c>
      <c r="G34" s="40" t="str">
        <f>IF(A34="","",IFERROR(SUMIFS(Transactions[Total],Transactions[Ticker],A34,Transactions[Action],"Buy")/SUMIFS(Transactions[Shares],Transactions[Ticker],A34,Transactions[Action],"Buy"),0))</f>
        <v/>
      </c>
      <c r="H34" s="40" t="str">
        <f t="shared" si="0"/>
        <v/>
      </c>
      <c r="I34" s="40" t="str">
        <f>IFERROR(SUMIFS(Transactions[Total],Transactions[Ticker],A34,Transactions[Action],"Sell")*-1-SUMIFS(Transactions[Shares],Transactions[Ticker],A34,Transactions[Action],"Sell")*G34,"")</f>
        <v/>
      </c>
      <c r="J34" s="40" t="str">
        <f t="shared" si="1"/>
        <v/>
      </c>
      <c r="K34" s="40" t="str">
        <f t="shared" si="2"/>
        <v/>
      </c>
      <c r="L34" s="41" t="str">
        <f>IF(A34="","",IFERROR(K34/(H34+SUMIFS(Transactions[Shares],Transactions[Ticker],A34,Transactions[Action],"Sell")*G34),0))</f>
        <v/>
      </c>
    </row>
    <row r="35" spans="2:12" x14ac:dyDescent="0.2">
      <c r="B35" s="39" t="str">
        <f>IF(Holdings!A35="","",SUMIFS(Transactions[Shares],Transactions[Ticker],Holdings!$A35,Transactions[Action],"Buy")-SUMIFS(Transactions[Shares],Transactions[Ticker],Holdings!$A35,Transactions[Action],"Sell"))</f>
        <v/>
      </c>
      <c r="C35" s="40" t="str">
        <f>IF(Holdings!A35="","",_xlfn.XLOOKUP(Holdings!$A35,Prices!$A$2:$A$100, Prices!$B$2:$B$100))</f>
        <v/>
      </c>
      <c r="D35" s="40" t="str">
        <f>IF(Holdings!B35="","",Holdings!$B35*Holdings!$C35)</f>
        <v/>
      </c>
      <c r="E35" s="39" t="str">
        <f>IF(A35="","",_xlfn.XLOOKUP(Holdings!$A35, Asset_Info!$A$2:$A$100,Asset_Info!$D$2:$D$100))</f>
        <v/>
      </c>
      <c r="F35" s="40" t="str">
        <f>IF(Holdings!A35="","",SUMIFS(Transactions[Total], Transactions[Ticker], Holdings!$A35))</f>
        <v/>
      </c>
      <c r="G35" s="40" t="str">
        <f>IF(A35="","",IFERROR(SUMIFS(Transactions[Total],Transactions[Ticker],A35,Transactions[Action],"Buy")/SUMIFS(Transactions[Shares],Transactions[Ticker],A35,Transactions[Action],"Buy"),0))</f>
        <v/>
      </c>
      <c r="H35" s="40" t="str">
        <f t="shared" si="0"/>
        <v/>
      </c>
      <c r="I35" s="40" t="str">
        <f>IFERROR(SUMIFS(Transactions[Total],Transactions[Ticker],A35,Transactions[Action],"Sell")*-1-SUMIFS(Transactions[Shares],Transactions[Ticker],A35,Transactions[Action],"Sell")*G35,"")</f>
        <v/>
      </c>
      <c r="J35" s="40" t="str">
        <f t="shared" si="1"/>
        <v/>
      </c>
      <c r="K35" s="40" t="str">
        <f t="shared" si="2"/>
        <v/>
      </c>
      <c r="L35" s="41" t="str">
        <f>IF(A35="","",IFERROR(K35/(H35+SUMIFS(Transactions[Shares],Transactions[Ticker],A35,Transactions[Action],"Sell")*G35),0))</f>
        <v/>
      </c>
    </row>
    <row r="36" spans="2:12" x14ac:dyDescent="0.2">
      <c r="B36" s="39" t="str">
        <f>IF(Holdings!A36="","",SUMIFS(Transactions[Shares],Transactions[Ticker],Holdings!$A36,Transactions[Action],"Buy")-SUMIFS(Transactions[Shares],Transactions[Ticker],Holdings!$A36,Transactions[Action],"Sell"))</f>
        <v/>
      </c>
      <c r="C36" s="40" t="str">
        <f>IF(Holdings!A36="","",_xlfn.XLOOKUP(Holdings!$A36,Prices!$A$2:$A$100, Prices!$B$2:$B$100))</f>
        <v/>
      </c>
      <c r="D36" s="40" t="str">
        <f>IF(Holdings!B36="","",Holdings!$B36*Holdings!$C36)</f>
        <v/>
      </c>
      <c r="E36" s="39" t="str">
        <f>IF(A36="","",_xlfn.XLOOKUP(Holdings!$A36, Asset_Info!$A$2:$A$100,Asset_Info!$D$2:$D$100))</f>
        <v/>
      </c>
      <c r="F36" s="40" t="str">
        <f>IF(Holdings!A36="","",SUMIFS(Transactions[Total], Transactions[Ticker], Holdings!$A36))</f>
        <v/>
      </c>
      <c r="G36" s="40" t="str">
        <f>IF(A36="","",IFERROR(SUMIFS(Transactions[Total],Transactions[Ticker],A36,Transactions[Action],"Buy")/SUMIFS(Transactions[Shares],Transactions[Ticker],A36,Transactions[Action],"Buy"),0))</f>
        <v/>
      </c>
      <c r="H36" s="40" t="str">
        <f t="shared" si="0"/>
        <v/>
      </c>
      <c r="I36" s="40" t="str">
        <f>IFERROR(SUMIFS(Transactions[Total],Transactions[Ticker],A36,Transactions[Action],"Sell")*-1-SUMIFS(Transactions[Shares],Transactions[Ticker],A36,Transactions[Action],"Sell")*G36,"")</f>
        <v/>
      </c>
      <c r="J36" s="40" t="str">
        <f t="shared" si="1"/>
        <v/>
      </c>
      <c r="K36" s="40" t="str">
        <f t="shared" si="2"/>
        <v/>
      </c>
      <c r="L36" s="41" t="str">
        <f>IF(A36="","",IFERROR(K36/(H36+SUMIFS(Transactions[Shares],Transactions[Ticker],A36,Transactions[Action],"Sell")*G36),0))</f>
        <v/>
      </c>
    </row>
    <row r="37" spans="2:12" x14ac:dyDescent="0.2">
      <c r="B37" s="39" t="str">
        <f>IF(Holdings!A37="","",SUMIFS(Transactions[Shares],Transactions[Ticker],Holdings!$A37,Transactions[Action],"Buy")-SUMIFS(Transactions[Shares],Transactions[Ticker],Holdings!$A37,Transactions[Action],"Sell"))</f>
        <v/>
      </c>
      <c r="C37" s="40" t="str">
        <f>IF(Holdings!A37="","",_xlfn.XLOOKUP(Holdings!$A37,Prices!$A$2:$A$100, Prices!$B$2:$B$100))</f>
        <v/>
      </c>
      <c r="D37" s="40" t="str">
        <f>IF(Holdings!B37="","",Holdings!$B37*Holdings!$C37)</f>
        <v/>
      </c>
      <c r="E37" s="39" t="str">
        <f>IF(A37="","",_xlfn.XLOOKUP(Holdings!$A37, Asset_Info!$A$2:$A$100,Asset_Info!$D$2:$D$100))</f>
        <v/>
      </c>
      <c r="F37" s="40" t="str">
        <f>IF(Holdings!A37="","",SUMIFS(Transactions[Total], Transactions[Ticker], Holdings!$A37))</f>
        <v/>
      </c>
      <c r="G37" s="40" t="str">
        <f>IF(A37="","",IFERROR(SUMIFS(Transactions[Total],Transactions[Ticker],A37,Transactions[Action],"Buy")/SUMIFS(Transactions[Shares],Transactions[Ticker],A37,Transactions[Action],"Buy"),0))</f>
        <v/>
      </c>
      <c r="H37" s="40" t="str">
        <f t="shared" si="0"/>
        <v/>
      </c>
      <c r="I37" s="40" t="str">
        <f>IFERROR(SUMIFS(Transactions[Total],Transactions[Ticker],A37,Transactions[Action],"Sell")*-1-SUMIFS(Transactions[Shares],Transactions[Ticker],A37,Transactions[Action],"Sell")*G37,"")</f>
        <v/>
      </c>
      <c r="J37" s="40" t="str">
        <f t="shared" si="1"/>
        <v/>
      </c>
      <c r="K37" s="40" t="str">
        <f t="shared" si="2"/>
        <v/>
      </c>
      <c r="L37" s="41" t="str">
        <f>IF(A37="","",IFERROR(K37/(H37+SUMIFS(Transactions[Shares],Transactions[Ticker],A37,Transactions[Action],"Sell")*G37),0))</f>
        <v/>
      </c>
    </row>
    <row r="38" spans="2:12" x14ac:dyDescent="0.2">
      <c r="B38" s="39" t="str">
        <f>IF(Holdings!A38="","",SUMIFS(Transactions[Shares],Transactions[Ticker],Holdings!$A38,Transactions[Action],"Buy")-SUMIFS(Transactions[Shares],Transactions[Ticker],Holdings!$A38,Transactions[Action],"Sell"))</f>
        <v/>
      </c>
      <c r="C38" s="40" t="str">
        <f>IF(Holdings!A38="","",_xlfn.XLOOKUP(Holdings!$A38,Prices!$A$2:$A$100, Prices!$B$2:$B$100))</f>
        <v/>
      </c>
      <c r="D38" s="40" t="str">
        <f>IF(Holdings!B38="","",Holdings!$B38*Holdings!$C38)</f>
        <v/>
      </c>
      <c r="E38" s="39" t="str">
        <f>IF(A38="","",_xlfn.XLOOKUP(Holdings!$A38, Asset_Info!$A$2:$A$100,Asset_Info!$D$2:$D$100))</f>
        <v/>
      </c>
      <c r="F38" s="40" t="str">
        <f>IF(Holdings!A38="","",SUMIFS(Transactions[Total], Transactions[Ticker], Holdings!$A38))</f>
        <v/>
      </c>
      <c r="G38" s="40" t="str">
        <f>IF(A38="","",IFERROR(SUMIFS(Transactions[Total],Transactions[Ticker],A38,Transactions[Action],"Buy")/SUMIFS(Transactions[Shares],Transactions[Ticker],A38,Transactions[Action],"Buy"),0))</f>
        <v/>
      </c>
      <c r="H38" s="40" t="str">
        <f t="shared" si="0"/>
        <v/>
      </c>
      <c r="I38" s="40" t="str">
        <f>IFERROR(SUMIFS(Transactions[Total],Transactions[Ticker],A38,Transactions[Action],"Sell")*-1-SUMIFS(Transactions[Shares],Transactions[Ticker],A38,Transactions[Action],"Sell")*G38,"")</f>
        <v/>
      </c>
      <c r="J38" s="40" t="str">
        <f t="shared" si="1"/>
        <v/>
      </c>
      <c r="K38" s="40" t="str">
        <f t="shared" si="2"/>
        <v/>
      </c>
      <c r="L38" s="41" t="str">
        <f>IF(A38="","",IFERROR(K38/(H38+SUMIFS(Transactions[Shares],Transactions[Ticker],A38,Transactions[Action],"Sell")*G38),0))</f>
        <v/>
      </c>
    </row>
    <row r="39" spans="2:12" x14ac:dyDescent="0.2">
      <c r="B39" s="39" t="str">
        <f>IF(Holdings!A39="","",SUMIFS(Transactions[Shares],Transactions[Ticker],Holdings!$A39,Transactions[Action],"Buy")-SUMIFS(Transactions[Shares],Transactions[Ticker],Holdings!$A39,Transactions[Action],"Sell"))</f>
        <v/>
      </c>
      <c r="C39" s="40" t="str">
        <f>IF(Holdings!A39="","",_xlfn.XLOOKUP(Holdings!$A39,Prices!$A$2:$A$100, Prices!$B$2:$B$100))</f>
        <v/>
      </c>
      <c r="D39" s="40" t="str">
        <f>IF(Holdings!B39="","",Holdings!$B39*Holdings!$C39)</f>
        <v/>
      </c>
      <c r="E39" s="39" t="str">
        <f>IF(A39="","",_xlfn.XLOOKUP(Holdings!$A39, Asset_Info!$A$2:$A$100,Asset_Info!$D$2:$D$100))</f>
        <v/>
      </c>
      <c r="F39" s="40" t="str">
        <f>IF(Holdings!A39="","",SUMIFS(Transactions[Total], Transactions[Ticker], Holdings!$A39))</f>
        <v/>
      </c>
      <c r="G39" s="40" t="str">
        <f>IF(A39="","",IFERROR(SUMIFS(Transactions[Total],Transactions[Ticker],A39,Transactions[Action],"Buy")/SUMIFS(Transactions[Shares],Transactions[Ticker],A39,Transactions[Action],"Buy"),0))</f>
        <v/>
      </c>
      <c r="H39" s="40" t="str">
        <f t="shared" si="0"/>
        <v/>
      </c>
      <c r="I39" s="40" t="str">
        <f>IFERROR(SUMIFS(Transactions[Total],Transactions[Ticker],A39,Transactions[Action],"Sell")*-1-SUMIFS(Transactions[Shares],Transactions[Ticker],A39,Transactions[Action],"Sell")*G39,"")</f>
        <v/>
      </c>
      <c r="J39" s="40" t="str">
        <f t="shared" si="1"/>
        <v/>
      </c>
      <c r="K39" s="40" t="str">
        <f t="shared" si="2"/>
        <v/>
      </c>
      <c r="L39" s="41" t="str">
        <f>IF(A39="","",IFERROR(K39/(H39+SUMIFS(Transactions[Shares],Transactions[Ticker],A39,Transactions[Action],"Sell")*G39),0))</f>
        <v/>
      </c>
    </row>
    <row r="40" spans="2:12" x14ac:dyDescent="0.2">
      <c r="B40" s="39" t="str">
        <f>IF(Holdings!A40="","",SUMIFS(Transactions[Shares],Transactions[Ticker],Holdings!$A40,Transactions[Action],"Buy")-SUMIFS(Transactions[Shares],Transactions[Ticker],Holdings!$A40,Transactions[Action],"Sell"))</f>
        <v/>
      </c>
      <c r="C40" s="40" t="str">
        <f>IF(Holdings!A40="","",_xlfn.XLOOKUP(Holdings!$A40,Prices!$A$2:$A$100, Prices!$B$2:$B$100))</f>
        <v/>
      </c>
      <c r="D40" s="40" t="str">
        <f>IF(Holdings!B40="","",Holdings!$B40*Holdings!$C40)</f>
        <v/>
      </c>
      <c r="E40" s="39" t="str">
        <f>IF(A40="","",_xlfn.XLOOKUP(Holdings!$A40, Asset_Info!$A$2:$A$100,Asset_Info!$D$2:$D$100))</f>
        <v/>
      </c>
      <c r="F40" s="40" t="str">
        <f>IF(Holdings!A40="","",SUMIFS(Transactions[Total], Transactions[Ticker], Holdings!$A40))</f>
        <v/>
      </c>
      <c r="G40" s="40" t="str">
        <f>IF(A40="","",IFERROR(SUMIFS(Transactions[Total],Transactions[Ticker],A40,Transactions[Action],"Buy")/SUMIFS(Transactions[Shares],Transactions[Ticker],A40,Transactions[Action],"Buy"),0))</f>
        <v/>
      </c>
      <c r="H40" s="40" t="str">
        <f t="shared" si="0"/>
        <v/>
      </c>
      <c r="I40" s="40" t="str">
        <f>IFERROR(SUMIFS(Transactions[Total],Transactions[Ticker],A40,Transactions[Action],"Sell")*-1-SUMIFS(Transactions[Shares],Transactions[Ticker],A40,Transactions[Action],"Sell")*G40,"")</f>
        <v/>
      </c>
      <c r="J40" s="40" t="str">
        <f t="shared" si="1"/>
        <v/>
      </c>
      <c r="K40" s="40" t="str">
        <f t="shared" si="2"/>
        <v/>
      </c>
      <c r="L40" s="41" t="str">
        <f>IF(A40="","",IFERROR(K40/(H40+SUMIFS(Transactions[Shares],Transactions[Ticker],A40,Transactions[Action],"Sell")*G40),0))</f>
        <v/>
      </c>
    </row>
    <row r="41" spans="2:12" x14ac:dyDescent="0.2">
      <c r="B41" s="39" t="str">
        <f>IF(Holdings!A41="","",SUMIFS(Transactions[Shares],Transactions[Ticker],Holdings!$A41,Transactions[Action],"Buy")-SUMIFS(Transactions[Shares],Transactions[Ticker],Holdings!$A41,Transactions[Action],"Sell"))</f>
        <v/>
      </c>
      <c r="C41" s="40" t="str">
        <f>IF(Holdings!A41="","",_xlfn.XLOOKUP(Holdings!$A41,Prices!$A$2:$A$100, Prices!$B$2:$B$100))</f>
        <v/>
      </c>
      <c r="D41" s="40" t="str">
        <f>IF(Holdings!B41="","",Holdings!$B41*Holdings!$C41)</f>
        <v/>
      </c>
      <c r="E41" s="39" t="str">
        <f>IF(A41="","",_xlfn.XLOOKUP(Holdings!$A41, Asset_Info!$A$2:$A$100,Asset_Info!$D$2:$D$100))</f>
        <v/>
      </c>
      <c r="F41" s="40" t="str">
        <f>IF(Holdings!A41="","",SUMIFS(Transactions[Total], Transactions[Ticker], Holdings!$A41))</f>
        <v/>
      </c>
      <c r="G41" s="40" t="str">
        <f>IF(A41="","",IFERROR(SUMIFS(Transactions[Total],Transactions[Ticker],A41,Transactions[Action],"Buy")/SUMIFS(Transactions[Shares],Transactions[Ticker],A41,Transactions[Action],"Buy"),0))</f>
        <v/>
      </c>
      <c r="H41" s="40" t="str">
        <f t="shared" si="0"/>
        <v/>
      </c>
      <c r="I41" s="40" t="str">
        <f>IFERROR(SUMIFS(Transactions[Total],Transactions[Ticker],A41,Transactions[Action],"Sell")*-1-SUMIFS(Transactions[Shares],Transactions[Ticker],A41,Transactions[Action],"Sell")*G41,"")</f>
        <v/>
      </c>
      <c r="J41" s="40" t="str">
        <f t="shared" si="1"/>
        <v/>
      </c>
      <c r="K41" s="40" t="str">
        <f t="shared" si="2"/>
        <v/>
      </c>
      <c r="L41" s="41" t="str">
        <f>IF(A41="","",IFERROR(K41/(H41+SUMIFS(Transactions[Shares],Transactions[Ticker],A41,Transactions[Action],"Sell")*G41),0))</f>
        <v/>
      </c>
    </row>
    <row r="42" spans="2:12" x14ac:dyDescent="0.2">
      <c r="B42" s="39" t="str">
        <f>IF(Holdings!A42="","",SUMIFS(Transactions[Shares],Transactions[Ticker],Holdings!$A42,Transactions[Action],"Buy")-SUMIFS(Transactions[Shares],Transactions[Ticker],Holdings!$A42,Transactions[Action],"Sell"))</f>
        <v/>
      </c>
      <c r="C42" s="40" t="str">
        <f>IF(Holdings!A42="","",_xlfn.XLOOKUP(Holdings!$A42,Prices!$A$2:$A$100, Prices!$B$2:$B$100))</f>
        <v/>
      </c>
      <c r="D42" s="40" t="str">
        <f>IF(Holdings!B42="","",Holdings!$B42*Holdings!$C42)</f>
        <v/>
      </c>
      <c r="E42" s="39" t="str">
        <f>IF(A42="","",_xlfn.XLOOKUP(Holdings!$A42, Asset_Info!$A$2:$A$100,Asset_Info!$D$2:$D$100))</f>
        <v/>
      </c>
      <c r="F42" s="40" t="str">
        <f>IF(Holdings!A42="","",SUMIFS(Transactions[Total], Transactions[Ticker], Holdings!$A42))</f>
        <v/>
      </c>
      <c r="G42" s="40" t="str">
        <f>IF(A42="","",IFERROR(SUMIFS(Transactions[Total],Transactions[Ticker],A42,Transactions[Action],"Buy")/SUMIFS(Transactions[Shares],Transactions[Ticker],A42,Transactions[Action],"Buy"),0))</f>
        <v/>
      </c>
      <c r="H42" s="40" t="str">
        <f t="shared" si="0"/>
        <v/>
      </c>
      <c r="I42" s="40" t="str">
        <f>IFERROR(SUMIFS(Transactions[Total],Transactions[Ticker],A42,Transactions[Action],"Sell")*-1-SUMIFS(Transactions[Shares],Transactions[Ticker],A42,Transactions[Action],"Sell")*G42,"")</f>
        <v/>
      </c>
      <c r="J42" s="40" t="str">
        <f t="shared" si="1"/>
        <v/>
      </c>
      <c r="K42" s="40" t="str">
        <f t="shared" si="2"/>
        <v/>
      </c>
      <c r="L42" s="41" t="str">
        <f>IF(A42="","",IFERROR(K42/(H42+SUMIFS(Transactions[Shares],Transactions[Ticker],A42,Transactions[Action],"Sell")*G42),0))</f>
        <v/>
      </c>
    </row>
    <row r="43" spans="2:12" x14ac:dyDescent="0.2">
      <c r="B43" s="39" t="str">
        <f>IF(Holdings!A43="","",SUMIFS(Transactions[Shares],Transactions[Ticker],Holdings!$A43,Transactions[Action],"Buy")-SUMIFS(Transactions[Shares],Transactions[Ticker],Holdings!$A43,Transactions[Action],"Sell"))</f>
        <v/>
      </c>
      <c r="C43" s="40" t="str">
        <f>IF(Holdings!A43="","",_xlfn.XLOOKUP(Holdings!$A43,Prices!$A$2:$A$100, Prices!$B$2:$B$100))</f>
        <v/>
      </c>
      <c r="D43" s="40" t="str">
        <f>IF(Holdings!B43="","",Holdings!$B43*Holdings!$C43)</f>
        <v/>
      </c>
      <c r="E43" s="39" t="str">
        <f>IF(A43="","",_xlfn.XLOOKUP(Holdings!$A43, Asset_Info!$A$2:$A$100,Asset_Info!$D$2:$D$100))</f>
        <v/>
      </c>
      <c r="F43" s="40" t="str">
        <f>IF(Holdings!A43="","",SUMIFS(Transactions[Total], Transactions[Ticker], Holdings!$A43))</f>
        <v/>
      </c>
      <c r="G43" s="40" t="str">
        <f>IF(A43="","",IFERROR(SUMIFS(Transactions[Total],Transactions[Ticker],A43,Transactions[Action],"Buy")/SUMIFS(Transactions[Shares],Transactions[Ticker],A43,Transactions[Action],"Buy"),0))</f>
        <v/>
      </c>
      <c r="H43" s="40" t="str">
        <f t="shared" si="0"/>
        <v/>
      </c>
      <c r="I43" s="40" t="str">
        <f>IFERROR(SUMIFS(Transactions[Total],Transactions[Ticker],A43,Transactions[Action],"Sell")*-1-SUMIFS(Transactions[Shares],Transactions[Ticker],A43,Transactions[Action],"Sell")*G43,"")</f>
        <v/>
      </c>
      <c r="J43" s="40" t="str">
        <f t="shared" si="1"/>
        <v/>
      </c>
      <c r="K43" s="40" t="str">
        <f t="shared" si="2"/>
        <v/>
      </c>
      <c r="L43" s="41" t="str">
        <f>IF(A43="","",IFERROR(K43/(H43+SUMIFS(Transactions[Shares],Transactions[Ticker],A43,Transactions[Action],"Sell")*G43),0))</f>
        <v/>
      </c>
    </row>
    <row r="44" spans="2:12" x14ac:dyDescent="0.2">
      <c r="B44" s="39" t="str">
        <f>IF(Holdings!A44="","",SUMIFS(Transactions[Shares],Transactions[Ticker],Holdings!$A44,Transactions[Action],"Buy")-SUMIFS(Transactions[Shares],Transactions[Ticker],Holdings!$A44,Transactions[Action],"Sell"))</f>
        <v/>
      </c>
      <c r="C44" s="40" t="str">
        <f>IF(Holdings!A44="","",_xlfn.XLOOKUP(Holdings!$A44,Prices!$A$2:$A$100, Prices!$B$2:$B$100))</f>
        <v/>
      </c>
      <c r="D44" s="40" t="str">
        <f>IF(Holdings!B44="","",Holdings!$B44*Holdings!$C44)</f>
        <v/>
      </c>
      <c r="E44" s="39" t="str">
        <f>IF(A44="","",_xlfn.XLOOKUP(Holdings!$A44, Asset_Info!$A$2:$A$100,Asset_Info!$D$2:$D$100))</f>
        <v/>
      </c>
      <c r="F44" s="40" t="str">
        <f>IF(Holdings!A44="","",SUMIFS(Transactions[Total], Transactions[Ticker], Holdings!$A44))</f>
        <v/>
      </c>
      <c r="G44" s="40" t="str">
        <f>IF(A44="","",IFERROR(SUMIFS(Transactions[Total],Transactions[Ticker],A44,Transactions[Action],"Buy")/SUMIFS(Transactions[Shares],Transactions[Ticker],A44,Transactions[Action],"Buy"),0))</f>
        <v/>
      </c>
      <c r="H44" s="40" t="str">
        <f t="shared" si="0"/>
        <v/>
      </c>
      <c r="I44" s="40" t="str">
        <f>IFERROR(SUMIFS(Transactions[Total],Transactions[Ticker],A44,Transactions[Action],"Sell")*-1-SUMIFS(Transactions[Shares],Transactions[Ticker],A44,Transactions[Action],"Sell")*G44,"")</f>
        <v/>
      </c>
      <c r="J44" s="40" t="str">
        <f t="shared" si="1"/>
        <v/>
      </c>
      <c r="K44" s="40" t="str">
        <f t="shared" si="2"/>
        <v/>
      </c>
      <c r="L44" s="41" t="str">
        <f>IF(A44="","",IFERROR(K44/(H44+SUMIFS(Transactions[Shares],Transactions[Ticker],A44,Transactions[Action],"Sell")*G44),0))</f>
        <v/>
      </c>
    </row>
    <row r="45" spans="2:12" x14ac:dyDescent="0.2">
      <c r="B45" s="39" t="str">
        <f>IF(Holdings!A45="","",SUMIFS(Transactions[Shares],Transactions[Ticker],Holdings!$A45,Transactions[Action],"Buy")-SUMIFS(Transactions[Shares],Transactions[Ticker],Holdings!$A45,Transactions[Action],"Sell"))</f>
        <v/>
      </c>
      <c r="C45" s="40" t="str">
        <f>IF(Holdings!A45="","",_xlfn.XLOOKUP(Holdings!$A45,Prices!$A$2:$A$100, Prices!$B$2:$B$100))</f>
        <v/>
      </c>
      <c r="D45" s="40" t="str">
        <f>IF(Holdings!B45="","",Holdings!$B45*Holdings!$C45)</f>
        <v/>
      </c>
      <c r="E45" s="39" t="str">
        <f>IF(A45="","",_xlfn.XLOOKUP(Holdings!$A45, Asset_Info!$A$2:$A$100,Asset_Info!$D$2:$D$100))</f>
        <v/>
      </c>
      <c r="F45" s="40" t="str">
        <f>IF(Holdings!A45="","",SUMIFS(Transactions[Total], Transactions[Ticker], Holdings!$A45))</f>
        <v/>
      </c>
      <c r="G45" s="40" t="str">
        <f>IF(A45="","",IFERROR(SUMIFS(Transactions[Total],Transactions[Ticker],A45,Transactions[Action],"Buy")/SUMIFS(Transactions[Shares],Transactions[Ticker],A45,Transactions[Action],"Buy"),0))</f>
        <v/>
      </c>
      <c r="H45" s="40" t="str">
        <f t="shared" si="0"/>
        <v/>
      </c>
      <c r="I45" s="40" t="str">
        <f>IFERROR(SUMIFS(Transactions[Total],Transactions[Ticker],A45,Transactions[Action],"Sell")*-1-SUMIFS(Transactions[Shares],Transactions[Ticker],A45,Transactions[Action],"Sell")*G45,"")</f>
        <v/>
      </c>
      <c r="J45" s="40" t="str">
        <f t="shared" si="1"/>
        <v/>
      </c>
      <c r="K45" s="40" t="str">
        <f t="shared" si="2"/>
        <v/>
      </c>
      <c r="L45" s="41" t="str">
        <f>IF(A45="","",IFERROR(K45/(H45+SUMIFS(Transactions[Shares],Transactions[Ticker],A45,Transactions[Action],"Sell")*G45),0))</f>
        <v/>
      </c>
    </row>
    <row r="46" spans="2:12" x14ac:dyDescent="0.2">
      <c r="B46" s="39" t="str">
        <f>IF(Holdings!A46="","",SUMIFS(Transactions[Shares],Transactions[Ticker],Holdings!$A46,Transactions[Action],"Buy")-SUMIFS(Transactions[Shares],Transactions[Ticker],Holdings!$A46,Transactions[Action],"Sell"))</f>
        <v/>
      </c>
      <c r="C46" s="40" t="str">
        <f>IF(Holdings!A46="","",_xlfn.XLOOKUP(Holdings!$A46,Prices!$A$2:$A$100, Prices!$B$2:$B$100))</f>
        <v/>
      </c>
      <c r="D46" s="40" t="str">
        <f>IF(Holdings!B46="","",Holdings!$B46*Holdings!$C46)</f>
        <v/>
      </c>
      <c r="E46" s="39" t="str">
        <f>IF(A46="","",_xlfn.XLOOKUP(Holdings!$A46, Asset_Info!$A$2:$A$100,Asset_Info!$D$2:$D$100))</f>
        <v/>
      </c>
      <c r="F46" s="40" t="str">
        <f>IF(Holdings!A46="","",SUMIFS(Transactions[Total], Transactions[Ticker], Holdings!$A46))</f>
        <v/>
      </c>
      <c r="G46" s="40" t="str">
        <f>IF(A46="","",IFERROR(SUMIFS(Transactions[Total],Transactions[Ticker],A46,Transactions[Action],"Buy")/SUMIFS(Transactions[Shares],Transactions[Ticker],A46,Transactions[Action],"Buy"),0))</f>
        <v/>
      </c>
      <c r="H46" s="40" t="str">
        <f t="shared" si="0"/>
        <v/>
      </c>
      <c r="I46" s="40" t="str">
        <f>IFERROR(SUMIFS(Transactions[Total],Transactions[Ticker],A46,Transactions[Action],"Sell")*-1-SUMIFS(Transactions[Shares],Transactions[Ticker],A46,Transactions[Action],"Sell")*G46,"")</f>
        <v/>
      </c>
      <c r="J46" s="40" t="str">
        <f t="shared" si="1"/>
        <v/>
      </c>
      <c r="K46" s="40" t="str">
        <f t="shared" si="2"/>
        <v/>
      </c>
      <c r="L46" s="41" t="str">
        <f>IF(A46="","",IFERROR(K46/(H46+SUMIFS(Transactions[Shares],Transactions[Ticker],A46,Transactions[Action],"Sell")*G46),0))</f>
        <v/>
      </c>
    </row>
    <row r="47" spans="2:12" x14ac:dyDescent="0.2">
      <c r="B47" s="39" t="str">
        <f>IF(Holdings!A47="","",SUMIFS(Transactions[Shares],Transactions[Ticker],Holdings!$A47,Transactions[Action],"Buy")-SUMIFS(Transactions[Shares],Transactions[Ticker],Holdings!$A47,Transactions[Action],"Sell"))</f>
        <v/>
      </c>
      <c r="C47" s="40" t="str">
        <f>IF(Holdings!A47="","",_xlfn.XLOOKUP(Holdings!$A47,Prices!$A$2:$A$100, Prices!$B$2:$B$100))</f>
        <v/>
      </c>
      <c r="D47" s="40" t="str">
        <f>IF(Holdings!B47="","",Holdings!$B47*Holdings!$C47)</f>
        <v/>
      </c>
      <c r="E47" s="39" t="str">
        <f>IF(A47="","",_xlfn.XLOOKUP(Holdings!$A47, Asset_Info!$A$2:$A$100,Asset_Info!$D$2:$D$100))</f>
        <v/>
      </c>
      <c r="F47" s="40" t="str">
        <f>IF(Holdings!A47="","",SUMIFS(Transactions[Total], Transactions[Ticker], Holdings!$A47))</f>
        <v/>
      </c>
      <c r="G47" s="40" t="str">
        <f>IF(A47="","",IFERROR(SUMIFS(Transactions[Total],Transactions[Ticker],A47,Transactions[Action],"Buy")/SUMIFS(Transactions[Shares],Transactions[Ticker],A47,Transactions[Action],"Buy"),0))</f>
        <v/>
      </c>
      <c r="H47" s="40" t="str">
        <f t="shared" si="0"/>
        <v/>
      </c>
      <c r="I47" s="40" t="str">
        <f>IFERROR(SUMIFS(Transactions[Total],Transactions[Ticker],A47,Transactions[Action],"Sell")*-1-SUMIFS(Transactions[Shares],Transactions[Ticker],A47,Transactions[Action],"Sell")*G47,"")</f>
        <v/>
      </c>
      <c r="J47" s="40" t="str">
        <f t="shared" si="1"/>
        <v/>
      </c>
      <c r="K47" s="40" t="str">
        <f t="shared" si="2"/>
        <v/>
      </c>
      <c r="L47" s="41" t="str">
        <f>IF(A47="","",IFERROR(K47/(H47+SUMIFS(Transactions[Shares],Transactions[Ticker],A47,Transactions[Action],"Sell")*G47),0))</f>
        <v/>
      </c>
    </row>
    <row r="48" spans="2:12" x14ac:dyDescent="0.2">
      <c r="B48" s="39" t="str">
        <f>IF(Holdings!A48="","",SUMIFS(Transactions[Shares],Transactions[Ticker],Holdings!$A48,Transactions[Action],"Buy")-SUMIFS(Transactions[Shares],Transactions[Ticker],Holdings!$A48,Transactions[Action],"Sell"))</f>
        <v/>
      </c>
      <c r="C48" s="40" t="str">
        <f>IF(Holdings!A48="","",_xlfn.XLOOKUP(Holdings!$A48,Prices!$A$2:$A$100, Prices!$B$2:$B$100))</f>
        <v/>
      </c>
      <c r="D48" s="40" t="str">
        <f>IF(Holdings!B48="","",Holdings!$B48*Holdings!$C48)</f>
        <v/>
      </c>
      <c r="E48" s="39" t="str">
        <f>IF(A48="","",_xlfn.XLOOKUP(Holdings!$A48, Asset_Info!$A$2:$A$100,Asset_Info!$D$2:$D$100))</f>
        <v/>
      </c>
      <c r="F48" s="40" t="str">
        <f>IF(Holdings!A48="","",SUMIFS(Transactions[Total], Transactions[Ticker], Holdings!$A48))</f>
        <v/>
      </c>
      <c r="G48" s="40" t="str">
        <f>IF(A48="","",IFERROR(SUMIFS(Transactions[Total],Transactions[Ticker],A48,Transactions[Action],"Buy")/SUMIFS(Transactions[Shares],Transactions[Ticker],A48,Transactions[Action],"Buy"),0))</f>
        <v/>
      </c>
      <c r="H48" s="40" t="str">
        <f t="shared" si="0"/>
        <v/>
      </c>
      <c r="I48" s="40" t="str">
        <f>IFERROR(SUMIFS(Transactions[Total],Transactions[Ticker],A48,Transactions[Action],"Sell")*-1-SUMIFS(Transactions[Shares],Transactions[Ticker],A48,Transactions[Action],"Sell")*G48,"")</f>
        <v/>
      </c>
      <c r="J48" s="40" t="str">
        <f t="shared" si="1"/>
        <v/>
      </c>
      <c r="K48" s="40" t="str">
        <f t="shared" si="2"/>
        <v/>
      </c>
      <c r="L48" s="41" t="str">
        <f>IF(A48="","",IFERROR(K48/(H48+SUMIFS(Transactions[Shares],Transactions[Ticker],A48,Transactions[Action],"Sell")*G48),0))</f>
        <v/>
      </c>
    </row>
    <row r="49" spans="2:12" x14ac:dyDescent="0.2">
      <c r="B49" s="39" t="str">
        <f>IF(Holdings!A49="","",SUMIFS(Transactions[Shares],Transactions[Ticker],Holdings!$A49,Transactions[Action],"Buy")-SUMIFS(Transactions[Shares],Transactions[Ticker],Holdings!$A49,Transactions[Action],"Sell"))</f>
        <v/>
      </c>
      <c r="C49" s="40" t="str">
        <f>IF(Holdings!A49="","",_xlfn.XLOOKUP(Holdings!$A49,Prices!$A$2:$A$100, Prices!$B$2:$B$100))</f>
        <v/>
      </c>
      <c r="D49" s="40" t="str">
        <f>IF(Holdings!B49="","",Holdings!$B49*Holdings!$C49)</f>
        <v/>
      </c>
      <c r="E49" s="39" t="str">
        <f>IF(A49="","",_xlfn.XLOOKUP(Holdings!$A49, Asset_Info!$A$2:$A$100,Asset_Info!$D$2:$D$100))</f>
        <v/>
      </c>
      <c r="F49" s="40" t="str">
        <f>IF(Holdings!A49="","",SUMIFS(Transactions[Total], Transactions[Ticker], Holdings!$A49))</f>
        <v/>
      </c>
      <c r="G49" s="40" t="str">
        <f>IF(A49="","",IFERROR(SUMIFS(Transactions[Total],Transactions[Ticker],A49,Transactions[Action],"Buy")/SUMIFS(Transactions[Shares],Transactions[Ticker],A49,Transactions[Action],"Buy"),0))</f>
        <v/>
      </c>
      <c r="H49" s="40" t="str">
        <f t="shared" si="0"/>
        <v/>
      </c>
      <c r="I49" s="40" t="str">
        <f>IFERROR(SUMIFS(Transactions[Total],Transactions[Ticker],A49,Transactions[Action],"Sell")*-1-SUMIFS(Transactions[Shares],Transactions[Ticker],A49,Transactions[Action],"Sell")*G49,"")</f>
        <v/>
      </c>
      <c r="J49" s="40" t="str">
        <f t="shared" si="1"/>
        <v/>
      </c>
      <c r="K49" s="40" t="str">
        <f t="shared" si="2"/>
        <v/>
      </c>
      <c r="L49" s="41" t="str">
        <f>IF(A49="","",IFERROR(K49/(H49+SUMIFS(Transactions[Shares],Transactions[Ticker],A49,Transactions[Action],"Sell")*G49),0))</f>
        <v/>
      </c>
    </row>
    <row r="50" spans="2:12" x14ac:dyDescent="0.2">
      <c r="B50" s="39" t="str">
        <f>IF(Holdings!A50="","",SUMIFS(Transactions[Shares],Transactions[Ticker],Holdings!$A50,Transactions[Action],"Buy")-SUMIFS(Transactions[Shares],Transactions[Ticker],Holdings!$A50,Transactions[Action],"Sell"))</f>
        <v/>
      </c>
      <c r="C50" s="40" t="str">
        <f>IF(Holdings!A50="","",_xlfn.XLOOKUP(Holdings!$A50,Prices!$A$2:$A$100, Prices!$B$2:$B$100))</f>
        <v/>
      </c>
      <c r="D50" s="40" t="str">
        <f>IF(Holdings!B50="","",Holdings!$B50*Holdings!$C50)</f>
        <v/>
      </c>
      <c r="E50" s="39" t="str">
        <f>IF(A50="","",_xlfn.XLOOKUP(Holdings!$A50, Asset_Info!$A$2:$A$100,Asset_Info!$D$2:$D$100))</f>
        <v/>
      </c>
      <c r="F50" s="40" t="str">
        <f>IF(Holdings!A50="","",SUMIFS(Transactions[Total], Transactions[Ticker], Holdings!$A50))</f>
        <v/>
      </c>
      <c r="G50" s="40" t="str">
        <f>IF(A50="","",IFERROR(SUMIFS(Transactions[Total],Transactions[Ticker],A50,Transactions[Action],"Buy")/SUMIFS(Transactions[Shares],Transactions[Ticker],A50,Transactions[Action],"Buy"),0))</f>
        <v/>
      </c>
      <c r="H50" s="40" t="str">
        <f t="shared" si="0"/>
        <v/>
      </c>
      <c r="I50" s="40" t="str">
        <f>IFERROR(SUMIFS(Transactions[Total],Transactions[Ticker],A50,Transactions[Action],"Sell")*-1-SUMIFS(Transactions[Shares],Transactions[Ticker],A50,Transactions[Action],"Sell")*G50,"")</f>
        <v/>
      </c>
      <c r="J50" s="40" t="str">
        <f t="shared" si="1"/>
        <v/>
      </c>
      <c r="K50" s="40" t="str">
        <f t="shared" si="2"/>
        <v/>
      </c>
      <c r="L50" s="41" t="str">
        <f>IF(A50="","",IFERROR(K50/(H50+SUMIFS(Transactions[Shares],Transactions[Ticker],A50,Transactions[Action],"Sell")*G50),0))</f>
        <v/>
      </c>
    </row>
    <row r="51" spans="2:12" x14ac:dyDescent="0.2">
      <c r="B51" s="39" t="str">
        <f>IF(Holdings!A51="","",SUMIFS(Transactions[Shares],Transactions[Ticker],Holdings!$A51,Transactions[Action],"Buy")-SUMIFS(Transactions[Shares],Transactions[Ticker],Holdings!$A51,Transactions[Action],"Sell"))</f>
        <v/>
      </c>
      <c r="C51" s="40" t="str">
        <f>IF(Holdings!A51="","",_xlfn.XLOOKUP(Holdings!$A51,Prices!$A$2:$A$100, Prices!$B$2:$B$100))</f>
        <v/>
      </c>
      <c r="D51" s="40" t="str">
        <f>IF(Holdings!B51="","",Holdings!$B51*Holdings!$C51)</f>
        <v/>
      </c>
      <c r="E51" s="39" t="str">
        <f>IF(A51="","",_xlfn.XLOOKUP(Holdings!$A51, Asset_Info!$A$2:$A$100,Asset_Info!$D$2:$D$100))</f>
        <v/>
      </c>
      <c r="F51" s="40" t="str">
        <f>IF(Holdings!A51="","",SUMIFS(Transactions[Total], Transactions[Ticker], Holdings!$A51))</f>
        <v/>
      </c>
      <c r="G51" s="40" t="str">
        <f>IF(A51="","",IFERROR(SUMIFS(Transactions[Total],Transactions[Ticker],A51,Transactions[Action],"Buy")/SUMIFS(Transactions[Shares],Transactions[Ticker],A51,Transactions[Action],"Buy"),0))</f>
        <v/>
      </c>
      <c r="H51" s="40" t="str">
        <f t="shared" si="0"/>
        <v/>
      </c>
      <c r="I51" s="40" t="str">
        <f>IFERROR(SUMIFS(Transactions[Total],Transactions[Ticker],A51,Transactions[Action],"Sell")*-1-SUMIFS(Transactions[Shares],Transactions[Ticker],A51,Transactions[Action],"Sell")*G51,"")</f>
        <v/>
      </c>
      <c r="J51" s="40" t="str">
        <f t="shared" si="1"/>
        <v/>
      </c>
      <c r="K51" s="40" t="str">
        <f t="shared" si="2"/>
        <v/>
      </c>
      <c r="L51" s="41" t="str">
        <f>IF(A51="","",IFERROR(K51/(H51+SUMIFS(Transactions[Shares],Transactions[Ticker],A51,Transactions[Action],"Sell")*G51),0))</f>
        <v/>
      </c>
    </row>
    <row r="52" spans="2:12" x14ac:dyDescent="0.2">
      <c r="B52" s="39" t="str">
        <f>IF(Holdings!A52="","",SUMIFS(Transactions[Shares],Transactions[Ticker],Holdings!$A52,Transactions[Action],"Buy")-SUMIFS(Transactions[Shares],Transactions[Ticker],Holdings!$A52,Transactions[Action],"Sell"))</f>
        <v/>
      </c>
      <c r="C52" s="40" t="str">
        <f>IF(Holdings!A52="","",_xlfn.XLOOKUP(Holdings!$A52,Prices!$A$2:$A$100, Prices!$B$2:$B$100))</f>
        <v/>
      </c>
      <c r="D52" s="40" t="str">
        <f>IF(Holdings!B52="","",Holdings!$B52*Holdings!$C52)</f>
        <v/>
      </c>
      <c r="E52" s="39" t="str">
        <f>IF(A52="","",_xlfn.XLOOKUP(Holdings!$A52, Asset_Info!$A$2:$A$100,Asset_Info!$D$2:$D$100))</f>
        <v/>
      </c>
      <c r="F52" s="40" t="str">
        <f>IF(Holdings!A52="","",SUMIFS(Transactions[Total], Transactions[Ticker], Holdings!$A52))</f>
        <v/>
      </c>
      <c r="G52" s="40" t="str">
        <f>IF(A52="","",IFERROR(SUMIFS(Transactions[Total],Transactions[Ticker],A52,Transactions[Action],"Buy")/SUMIFS(Transactions[Shares],Transactions[Ticker],A52,Transactions[Action],"Buy"),0))</f>
        <v/>
      </c>
      <c r="H52" s="40" t="str">
        <f t="shared" si="0"/>
        <v/>
      </c>
      <c r="I52" s="40" t="str">
        <f>IFERROR(SUMIFS(Transactions[Total],Transactions[Ticker],A52,Transactions[Action],"Sell")*-1-SUMIFS(Transactions[Shares],Transactions[Ticker],A52,Transactions[Action],"Sell")*G52,"")</f>
        <v/>
      </c>
      <c r="J52" s="40" t="str">
        <f t="shared" si="1"/>
        <v/>
      </c>
      <c r="K52" s="40" t="str">
        <f t="shared" si="2"/>
        <v/>
      </c>
      <c r="L52" s="41" t="str">
        <f>IF(A52="","",IFERROR(K52/(H52+SUMIFS(Transactions[Shares],Transactions[Ticker],A52,Transactions[Action],"Sell")*G52),0))</f>
        <v/>
      </c>
    </row>
    <row r="53" spans="2:12" x14ac:dyDescent="0.2">
      <c r="B53" s="39" t="str">
        <f>IF(Holdings!A53="","",SUMIFS(Transactions[Shares],Transactions[Ticker],Holdings!$A53,Transactions[Action],"Buy")-SUMIFS(Transactions[Shares],Transactions[Ticker],Holdings!$A53,Transactions[Action],"Sell"))</f>
        <v/>
      </c>
      <c r="C53" s="40" t="str">
        <f>IF(Holdings!A53="","",_xlfn.XLOOKUP(Holdings!$A53,Prices!$A$2:$A$100, Prices!$B$2:$B$100))</f>
        <v/>
      </c>
      <c r="D53" s="40" t="str">
        <f>IF(Holdings!B53="","",Holdings!$B53*Holdings!$C53)</f>
        <v/>
      </c>
      <c r="E53" s="39" t="str">
        <f>IF(A53="","",_xlfn.XLOOKUP(Holdings!$A53, Asset_Info!$A$2:$A$100,Asset_Info!$D$2:$D$100))</f>
        <v/>
      </c>
      <c r="F53" s="40" t="str">
        <f>IF(Holdings!A53="","",SUMIFS(Transactions[Total], Transactions[Ticker], Holdings!$A53))</f>
        <v/>
      </c>
      <c r="G53" s="40" t="str">
        <f>IF(A53="","",IFERROR(SUMIFS(Transactions[Total],Transactions[Ticker],A53,Transactions[Action],"Buy")/SUMIFS(Transactions[Shares],Transactions[Ticker],A53,Transactions[Action],"Buy"),0))</f>
        <v/>
      </c>
      <c r="H53" s="40" t="str">
        <f t="shared" si="0"/>
        <v/>
      </c>
      <c r="I53" s="40" t="str">
        <f>IFERROR(SUMIFS(Transactions[Total],Transactions[Ticker],A53,Transactions[Action],"Sell")*-1-SUMIFS(Transactions[Shares],Transactions[Ticker],A53,Transactions[Action],"Sell")*G53,"")</f>
        <v/>
      </c>
      <c r="J53" s="40" t="str">
        <f t="shared" si="1"/>
        <v/>
      </c>
      <c r="K53" s="40" t="str">
        <f t="shared" si="2"/>
        <v/>
      </c>
      <c r="L53" s="41" t="str">
        <f>IF(A53="","",IFERROR(K53/(H53+SUMIFS(Transactions[Shares],Transactions[Ticker],A53,Transactions[Action],"Sell")*G53),0))</f>
        <v/>
      </c>
    </row>
    <row r="54" spans="2:12" x14ac:dyDescent="0.2">
      <c r="B54" s="39" t="str">
        <f>IF(Holdings!A54="","",SUMIFS(Transactions[Shares],Transactions[Ticker],Holdings!$A54,Transactions[Action],"Buy")-SUMIFS(Transactions[Shares],Transactions[Ticker],Holdings!$A54,Transactions[Action],"Sell"))</f>
        <v/>
      </c>
      <c r="C54" s="40" t="str">
        <f>IF(Holdings!A54="","",_xlfn.XLOOKUP(Holdings!$A54,Prices!$A$2:$A$100, Prices!$B$2:$B$100))</f>
        <v/>
      </c>
      <c r="D54" s="40" t="str">
        <f>IF(Holdings!B54="","",Holdings!$B54*Holdings!$C54)</f>
        <v/>
      </c>
      <c r="E54" s="39" t="str">
        <f>IF(A54="","",_xlfn.XLOOKUP(Holdings!$A54, Asset_Info!$A$2:$A$100,Asset_Info!$D$2:$D$100))</f>
        <v/>
      </c>
      <c r="F54" s="40" t="str">
        <f>IF(Holdings!A54="","",SUMIFS(Transactions[Total], Transactions[Ticker], Holdings!$A54))</f>
        <v/>
      </c>
      <c r="G54" s="40" t="str">
        <f>IF(A54="","",IFERROR(SUMIFS(Transactions[Total],Transactions[Ticker],A54,Transactions[Action],"Buy")/SUMIFS(Transactions[Shares],Transactions[Ticker],A54,Transactions[Action],"Buy"),0))</f>
        <v/>
      </c>
      <c r="H54" s="40" t="str">
        <f t="shared" si="0"/>
        <v/>
      </c>
      <c r="I54" s="40" t="str">
        <f>IFERROR(SUMIFS(Transactions[Total],Transactions[Ticker],A54,Transactions[Action],"Sell")*-1-SUMIFS(Transactions[Shares],Transactions[Ticker],A54,Transactions[Action],"Sell")*G54,"")</f>
        <v/>
      </c>
      <c r="J54" s="40" t="str">
        <f t="shared" si="1"/>
        <v/>
      </c>
      <c r="K54" s="40" t="str">
        <f t="shared" si="2"/>
        <v/>
      </c>
      <c r="L54" s="41" t="str">
        <f>IF(A54="","",IFERROR(K54/(H54+SUMIFS(Transactions[Shares],Transactions[Ticker],A54,Transactions[Action],"Sell")*G54),0))</f>
        <v/>
      </c>
    </row>
    <row r="55" spans="2:12" x14ac:dyDescent="0.2">
      <c r="B55" s="39" t="str">
        <f>IF(Holdings!A55="","",SUMIFS(Transactions[Shares],Transactions[Ticker],Holdings!$A55,Transactions[Action],"Buy")-SUMIFS(Transactions[Shares],Transactions[Ticker],Holdings!$A55,Transactions[Action],"Sell"))</f>
        <v/>
      </c>
      <c r="C55" s="40" t="str">
        <f>IF(Holdings!A55="","",_xlfn.XLOOKUP(Holdings!$A55,Prices!$A$2:$A$100, Prices!$B$2:$B$100))</f>
        <v/>
      </c>
      <c r="D55" s="40" t="str">
        <f>IF(Holdings!B55="","",Holdings!$B55*Holdings!$C55)</f>
        <v/>
      </c>
      <c r="E55" s="39" t="str">
        <f>IF(A55="","",_xlfn.XLOOKUP(Holdings!$A55, Asset_Info!$A$2:$A$100,Asset_Info!$D$2:$D$100))</f>
        <v/>
      </c>
      <c r="F55" s="40" t="str">
        <f>IF(Holdings!A55="","",SUMIFS(Transactions[Total], Transactions[Ticker], Holdings!$A55))</f>
        <v/>
      </c>
      <c r="G55" s="40" t="str">
        <f>IF(A55="","",IFERROR(SUMIFS(Transactions[Total],Transactions[Ticker],A55,Transactions[Action],"Buy")/SUMIFS(Transactions[Shares],Transactions[Ticker],A55,Transactions[Action],"Buy"),0))</f>
        <v/>
      </c>
      <c r="H55" s="40" t="str">
        <f t="shared" si="0"/>
        <v/>
      </c>
      <c r="I55" s="40" t="str">
        <f>IFERROR(SUMIFS(Transactions[Total],Transactions[Ticker],A55,Transactions[Action],"Sell")*-1-SUMIFS(Transactions[Shares],Transactions[Ticker],A55,Transactions[Action],"Sell")*G55,"")</f>
        <v/>
      </c>
      <c r="J55" s="40" t="str">
        <f t="shared" si="1"/>
        <v/>
      </c>
      <c r="K55" s="40" t="str">
        <f t="shared" si="2"/>
        <v/>
      </c>
      <c r="L55" s="41" t="str">
        <f>IF(A55="","",IFERROR(K55/(H55+SUMIFS(Transactions[Shares],Transactions[Ticker],A55,Transactions[Action],"Sell")*G55),0))</f>
        <v/>
      </c>
    </row>
    <row r="56" spans="2:12" x14ac:dyDescent="0.2">
      <c r="B56" s="39" t="str">
        <f>IF(Holdings!A56="","",SUMIFS(Transactions[Shares],Transactions[Ticker],Holdings!$A56,Transactions[Action],"Buy")-SUMIFS(Transactions[Shares],Transactions[Ticker],Holdings!$A56,Transactions[Action],"Sell"))</f>
        <v/>
      </c>
      <c r="C56" s="40" t="str">
        <f>IF(Holdings!A56="","",_xlfn.XLOOKUP(Holdings!$A56,Prices!$A$2:$A$100, Prices!$B$2:$B$100))</f>
        <v/>
      </c>
      <c r="D56" s="40" t="str">
        <f>IF(Holdings!B56="","",Holdings!$B56*Holdings!$C56)</f>
        <v/>
      </c>
      <c r="E56" s="39" t="str">
        <f>IF(A56="","",_xlfn.XLOOKUP(Holdings!$A56, Asset_Info!$A$2:$A$100,Asset_Info!$D$2:$D$100))</f>
        <v/>
      </c>
      <c r="F56" s="40" t="str">
        <f>IF(Holdings!A56="","",SUMIFS(Transactions[Total], Transactions[Ticker], Holdings!$A56))</f>
        <v/>
      </c>
      <c r="G56" s="40" t="str">
        <f>IF(A56="","",IFERROR(SUMIFS(Transactions[Total],Transactions[Ticker],A56,Transactions[Action],"Buy")/SUMIFS(Transactions[Shares],Transactions[Ticker],A56,Transactions[Action],"Buy"),0))</f>
        <v/>
      </c>
      <c r="H56" s="40" t="str">
        <f t="shared" si="0"/>
        <v/>
      </c>
      <c r="I56" s="40" t="str">
        <f>IFERROR(SUMIFS(Transactions[Total],Transactions[Ticker],A56,Transactions[Action],"Sell")*-1-SUMIFS(Transactions[Shares],Transactions[Ticker],A56,Transactions[Action],"Sell")*G56,"")</f>
        <v/>
      </c>
      <c r="J56" s="40" t="str">
        <f t="shared" si="1"/>
        <v/>
      </c>
      <c r="K56" s="40" t="str">
        <f t="shared" si="2"/>
        <v/>
      </c>
      <c r="L56" s="41" t="str">
        <f>IF(A56="","",IFERROR(K56/(H56+SUMIFS(Transactions[Shares],Transactions[Ticker],A56,Transactions[Action],"Sell")*G56),0))</f>
        <v/>
      </c>
    </row>
    <row r="57" spans="2:12" x14ac:dyDescent="0.2">
      <c r="B57" s="39" t="str">
        <f>IF(Holdings!A57="","",SUMIFS(Transactions[Shares],Transactions[Ticker],Holdings!$A57,Transactions[Action],"Buy")-SUMIFS(Transactions[Shares],Transactions[Ticker],Holdings!$A57,Transactions[Action],"Sell"))</f>
        <v/>
      </c>
      <c r="C57" s="40" t="str">
        <f>IF(Holdings!A57="","",_xlfn.XLOOKUP(Holdings!$A57,Prices!$A$2:$A$100, Prices!$B$2:$B$100))</f>
        <v/>
      </c>
      <c r="D57" s="40" t="str">
        <f>IF(Holdings!B57="","",Holdings!$B57*Holdings!$C57)</f>
        <v/>
      </c>
      <c r="E57" s="39" t="str">
        <f>IF(A57="","",_xlfn.XLOOKUP(Holdings!$A57, Asset_Info!$A$2:$A$100,Asset_Info!$D$2:$D$100))</f>
        <v/>
      </c>
      <c r="F57" s="40" t="str">
        <f>IF(Holdings!A57="","",SUMIFS(Transactions[Total], Transactions[Ticker], Holdings!$A57))</f>
        <v/>
      </c>
      <c r="G57" s="40" t="str">
        <f>IF(A57="","",IFERROR(SUMIFS(Transactions[Total],Transactions[Ticker],A57,Transactions[Action],"Buy")/SUMIFS(Transactions[Shares],Transactions[Ticker],A57,Transactions[Action],"Buy"),0))</f>
        <v/>
      </c>
      <c r="H57" s="40" t="str">
        <f t="shared" si="0"/>
        <v/>
      </c>
      <c r="I57" s="40" t="str">
        <f>IFERROR(SUMIFS(Transactions[Total],Transactions[Ticker],A57,Transactions[Action],"Sell")*-1-SUMIFS(Transactions[Shares],Transactions[Ticker],A57,Transactions[Action],"Sell")*G57,"")</f>
        <v/>
      </c>
      <c r="J57" s="40" t="str">
        <f t="shared" si="1"/>
        <v/>
      </c>
      <c r="K57" s="40" t="str">
        <f t="shared" si="2"/>
        <v/>
      </c>
      <c r="L57" s="41" t="str">
        <f>IF(A57="","",IFERROR(K57/(H57+SUMIFS(Transactions[Shares],Transactions[Ticker],A57,Transactions[Action],"Sell")*G57),0))</f>
        <v/>
      </c>
    </row>
    <row r="58" spans="2:12" x14ac:dyDescent="0.2">
      <c r="B58" s="39" t="str">
        <f>IF(Holdings!A58="","",SUMIFS(Transactions[Shares],Transactions[Ticker],Holdings!$A58,Transactions[Action],"Buy")-SUMIFS(Transactions[Shares],Transactions[Ticker],Holdings!$A58,Transactions[Action],"Sell"))</f>
        <v/>
      </c>
      <c r="C58" s="40" t="str">
        <f>IF(Holdings!A58="","",_xlfn.XLOOKUP(Holdings!$A58,Prices!$A$2:$A$100, Prices!$B$2:$B$100))</f>
        <v/>
      </c>
      <c r="D58" s="40" t="str">
        <f>IF(Holdings!B58="","",Holdings!$B58*Holdings!$C58)</f>
        <v/>
      </c>
      <c r="E58" s="39" t="str">
        <f>IF(A58="","",_xlfn.XLOOKUP(Holdings!$A58, Asset_Info!$A$2:$A$100,Asset_Info!$D$2:$D$100))</f>
        <v/>
      </c>
      <c r="F58" s="40" t="str">
        <f>IF(Holdings!A58="","",SUMIFS(Transactions[Total], Transactions[Ticker], Holdings!$A58))</f>
        <v/>
      </c>
      <c r="G58" s="40" t="str">
        <f>IF(A58="","",IFERROR(SUMIFS(Transactions[Total],Transactions[Ticker],A58,Transactions[Action],"Buy")/SUMIFS(Transactions[Shares],Transactions[Ticker],A58,Transactions[Action],"Buy"),0))</f>
        <v/>
      </c>
      <c r="H58" s="40" t="str">
        <f t="shared" si="0"/>
        <v/>
      </c>
      <c r="I58" s="40" t="str">
        <f>IFERROR(SUMIFS(Transactions[Total],Transactions[Ticker],A58,Transactions[Action],"Sell")*-1-SUMIFS(Transactions[Shares],Transactions[Ticker],A58,Transactions[Action],"Sell")*G58,"")</f>
        <v/>
      </c>
      <c r="J58" s="40" t="str">
        <f t="shared" si="1"/>
        <v/>
      </c>
      <c r="K58" s="40" t="str">
        <f t="shared" si="2"/>
        <v/>
      </c>
      <c r="L58" s="41" t="str">
        <f>IF(A58="","",IFERROR(K58/(H58+SUMIFS(Transactions[Shares],Transactions[Ticker],A58,Transactions[Action],"Sell")*G58),0))</f>
        <v/>
      </c>
    </row>
    <row r="59" spans="2:12" x14ac:dyDescent="0.2">
      <c r="B59" s="39" t="str">
        <f>IF(Holdings!A59="","",SUMIFS(Transactions[Shares],Transactions[Ticker],Holdings!$A59,Transactions[Action],"Buy")-SUMIFS(Transactions[Shares],Transactions[Ticker],Holdings!$A59,Transactions[Action],"Sell"))</f>
        <v/>
      </c>
      <c r="C59" s="40" t="str">
        <f>IF(Holdings!A59="","",_xlfn.XLOOKUP(Holdings!$A59,Prices!$A$2:$A$100, Prices!$B$2:$B$100))</f>
        <v/>
      </c>
      <c r="D59" s="40" t="str">
        <f>IF(Holdings!B59="","",Holdings!$B59*Holdings!$C59)</f>
        <v/>
      </c>
      <c r="E59" s="39" t="str">
        <f>IF(A59="","",_xlfn.XLOOKUP(Holdings!$A59, Asset_Info!$A$2:$A$100,Asset_Info!$D$2:$D$100))</f>
        <v/>
      </c>
      <c r="F59" s="40" t="str">
        <f>IF(Holdings!A59="","",SUMIFS(Transactions[Total], Transactions[Ticker], Holdings!$A59))</f>
        <v/>
      </c>
      <c r="G59" s="40" t="str">
        <f>IF(A59="","",IFERROR(SUMIFS(Transactions[Total],Transactions[Ticker],A59,Transactions[Action],"Buy")/SUMIFS(Transactions[Shares],Transactions[Ticker],A59,Transactions[Action],"Buy"),0))</f>
        <v/>
      </c>
      <c r="H59" s="40" t="str">
        <f t="shared" si="0"/>
        <v/>
      </c>
      <c r="I59" s="40" t="str">
        <f>IFERROR(SUMIFS(Transactions[Total],Transactions[Ticker],A59,Transactions[Action],"Sell")*-1-SUMIFS(Transactions[Shares],Transactions[Ticker],A59,Transactions[Action],"Sell")*G59,"")</f>
        <v/>
      </c>
      <c r="J59" s="40" t="str">
        <f t="shared" si="1"/>
        <v/>
      </c>
      <c r="K59" s="40" t="str">
        <f t="shared" si="2"/>
        <v/>
      </c>
      <c r="L59" s="41" t="str">
        <f>IF(A59="","",IFERROR(K59/(H59+SUMIFS(Transactions[Shares],Transactions[Ticker],A59,Transactions[Action],"Sell")*G59),0))</f>
        <v/>
      </c>
    </row>
    <row r="60" spans="2:12" x14ac:dyDescent="0.2">
      <c r="B60" s="39" t="str">
        <f>IF(Holdings!A60="","",SUMIFS(Transactions[Shares],Transactions[Ticker],Holdings!$A60,Transactions[Action],"Buy")-SUMIFS(Transactions[Shares],Transactions[Ticker],Holdings!$A60,Transactions[Action],"Sell"))</f>
        <v/>
      </c>
      <c r="C60" s="40" t="str">
        <f>IF(Holdings!A60="","",_xlfn.XLOOKUP(Holdings!$A60,Prices!$A$2:$A$100, Prices!$B$2:$B$100))</f>
        <v/>
      </c>
      <c r="D60" s="40" t="str">
        <f>IF(Holdings!B60="","",Holdings!$B60*Holdings!$C60)</f>
        <v/>
      </c>
      <c r="E60" s="39" t="str">
        <f>IF(A60="","",_xlfn.XLOOKUP(Holdings!$A60, Asset_Info!$A$2:$A$100,Asset_Info!$D$2:$D$100))</f>
        <v/>
      </c>
      <c r="F60" s="40" t="str">
        <f>IF(Holdings!A60="","",SUMIFS(Transactions[Total], Transactions[Ticker], Holdings!$A60))</f>
        <v/>
      </c>
      <c r="G60" s="40" t="str">
        <f>IF(A60="","",IFERROR(SUMIFS(Transactions[Total],Transactions[Ticker],A60,Transactions[Action],"Buy")/SUMIFS(Transactions[Shares],Transactions[Ticker],A60,Transactions[Action],"Buy"),0))</f>
        <v/>
      </c>
      <c r="H60" s="40" t="str">
        <f t="shared" si="0"/>
        <v/>
      </c>
      <c r="I60" s="40" t="str">
        <f>IFERROR(SUMIFS(Transactions[Total],Transactions[Ticker],A60,Transactions[Action],"Sell")*-1-SUMIFS(Transactions[Shares],Transactions[Ticker],A60,Transactions[Action],"Sell")*G60,"")</f>
        <v/>
      </c>
      <c r="J60" s="40" t="str">
        <f t="shared" si="1"/>
        <v/>
      </c>
      <c r="K60" s="40" t="str">
        <f t="shared" si="2"/>
        <v/>
      </c>
      <c r="L60" s="41" t="str">
        <f>IF(A60="","",IFERROR(K60/(H60+SUMIFS(Transactions[Shares],Transactions[Ticker],A60,Transactions[Action],"Sell")*G60),0))</f>
        <v/>
      </c>
    </row>
    <row r="61" spans="2:12" x14ac:dyDescent="0.2">
      <c r="B61" s="39" t="str">
        <f>IF(Holdings!A61="","",SUMIFS(Transactions[Shares],Transactions[Ticker],Holdings!$A61,Transactions[Action],"Buy")-SUMIFS(Transactions[Shares],Transactions[Ticker],Holdings!$A61,Transactions[Action],"Sell"))</f>
        <v/>
      </c>
      <c r="C61" s="40" t="str">
        <f>IF(Holdings!A61="","",_xlfn.XLOOKUP(Holdings!$A61,Prices!$A$2:$A$100, Prices!$B$2:$B$100))</f>
        <v/>
      </c>
      <c r="D61" s="40" t="str">
        <f>IF(Holdings!B61="","",Holdings!$B61*Holdings!$C61)</f>
        <v/>
      </c>
      <c r="E61" s="39" t="str">
        <f>IF(A61="","",_xlfn.XLOOKUP(Holdings!$A61, Asset_Info!$A$2:$A$100,Asset_Info!$D$2:$D$100))</f>
        <v/>
      </c>
      <c r="F61" s="40" t="str">
        <f>IF(Holdings!A61="","",SUMIFS(Transactions[Total], Transactions[Ticker], Holdings!$A61))</f>
        <v/>
      </c>
      <c r="G61" s="40" t="str">
        <f>IF(A61="","",IFERROR(SUMIFS(Transactions[Total],Transactions[Ticker],A61,Transactions[Action],"Buy")/SUMIFS(Transactions[Shares],Transactions[Ticker],A61,Transactions[Action],"Buy"),0))</f>
        <v/>
      </c>
      <c r="H61" s="40" t="str">
        <f t="shared" si="0"/>
        <v/>
      </c>
      <c r="I61" s="40" t="str">
        <f>IFERROR(SUMIFS(Transactions[Total],Transactions[Ticker],A61,Transactions[Action],"Sell")*-1-SUMIFS(Transactions[Shares],Transactions[Ticker],A61,Transactions[Action],"Sell")*G61,"")</f>
        <v/>
      </c>
      <c r="J61" s="40" t="str">
        <f t="shared" si="1"/>
        <v/>
      </c>
      <c r="K61" s="40" t="str">
        <f t="shared" si="2"/>
        <v/>
      </c>
      <c r="L61" s="41" t="str">
        <f>IF(A61="","",IFERROR(K61/(H61+SUMIFS(Transactions[Shares],Transactions[Ticker],A61,Transactions[Action],"Sell")*G61),0))</f>
        <v/>
      </c>
    </row>
    <row r="62" spans="2:12" x14ac:dyDescent="0.2">
      <c r="B62" s="39" t="str">
        <f>IF(Holdings!A62="","",SUMIFS(Transactions[Shares],Transactions[Ticker],Holdings!$A62,Transactions[Action],"Buy")-SUMIFS(Transactions[Shares],Transactions[Ticker],Holdings!$A62,Transactions[Action],"Sell"))</f>
        <v/>
      </c>
      <c r="C62" s="40" t="str">
        <f>IF(Holdings!A62="","",_xlfn.XLOOKUP(Holdings!$A62,Prices!$A$2:$A$100, Prices!$B$2:$B$100))</f>
        <v/>
      </c>
      <c r="D62" s="40" t="str">
        <f>IF(Holdings!B62="","",Holdings!$B62*Holdings!$C62)</f>
        <v/>
      </c>
      <c r="E62" s="39" t="str">
        <f>IF(A62="","",_xlfn.XLOOKUP(Holdings!$A62, Asset_Info!$A$2:$A$100,Asset_Info!$D$2:$D$100))</f>
        <v/>
      </c>
      <c r="F62" s="40" t="str">
        <f>IF(Holdings!A62="","",SUMIFS(Transactions[Total], Transactions[Ticker], Holdings!$A62))</f>
        <v/>
      </c>
      <c r="G62" s="40" t="str">
        <f>IF(A62="","",IFERROR(SUMIFS(Transactions[Total],Transactions[Ticker],A62,Transactions[Action],"Buy")/SUMIFS(Transactions[Shares],Transactions[Ticker],A62,Transactions[Action],"Buy"),0))</f>
        <v/>
      </c>
      <c r="H62" s="40" t="str">
        <f t="shared" si="0"/>
        <v/>
      </c>
      <c r="I62" s="40" t="str">
        <f>IFERROR(SUMIFS(Transactions[Total],Transactions[Ticker],A62,Transactions[Action],"Sell")*-1-SUMIFS(Transactions[Shares],Transactions[Ticker],A62,Transactions[Action],"Sell")*G62,"")</f>
        <v/>
      </c>
      <c r="J62" s="40" t="str">
        <f t="shared" si="1"/>
        <v/>
      </c>
      <c r="K62" s="40" t="str">
        <f t="shared" si="2"/>
        <v/>
      </c>
      <c r="L62" s="41" t="str">
        <f>IF(A62="","",IFERROR(K62/(H62+SUMIFS(Transactions[Shares],Transactions[Ticker],A62,Transactions[Action],"Sell")*G62),0))</f>
        <v/>
      </c>
    </row>
    <row r="63" spans="2:12" x14ac:dyDescent="0.2">
      <c r="B63" s="39" t="str">
        <f>IF(Holdings!A63="","",SUMIFS(Transactions[Shares],Transactions[Ticker],Holdings!$A63,Transactions[Action],"Buy")-SUMIFS(Transactions[Shares],Transactions[Ticker],Holdings!$A63,Transactions[Action],"Sell"))</f>
        <v/>
      </c>
      <c r="C63" s="40" t="str">
        <f>IF(Holdings!A63="","",_xlfn.XLOOKUP(Holdings!$A63,Prices!$A$2:$A$100, Prices!$B$2:$B$100))</f>
        <v/>
      </c>
      <c r="D63" s="40" t="str">
        <f>IF(Holdings!B63="","",Holdings!$B63*Holdings!$C63)</f>
        <v/>
      </c>
      <c r="E63" s="39" t="str">
        <f>IF(A63="","",_xlfn.XLOOKUP(Holdings!$A63, Asset_Info!$A$2:$A$100,Asset_Info!$D$2:$D$100))</f>
        <v/>
      </c>
      <c r="F63" s="40" t="str">
        <f>IF(Holdings!A63="","",SUMIFS(Transactions[Total], Transactions[Ticker], Holdings!$A63))</f>
        <v/>
      </c>
      <c r="G63" s="40" t="str">
        <f>IF(A63="","",IFERROR(SUMIFS(Transactions[Total],Transactions[Ticker],A63,Transactions[Action],"Buy")/SUMIFS(Transactions[Shares],Transactions[Ticker],A63,Transactions[Action],"Buy"),0))</f>
        <v/>
      </c>
      <c r="H63" s="40" t="str">
        <f t="shared" si="0"/>
        <v/>
      </c>
      <c r="I63" s="40" t="str">
        <f>IFERROR(SUMIFS(Transactions[Total],Transactions[Ticker],A63,Transactions[Action],"Sell")*-1-SUMIFS(Transactions[Shares],Transactions[Ticker],A63,Transactions[Action],"Sell")*G63,"")</f>
        <v/>
      </c>
      <c r="J63" s="40" t="str">
        <f t="shared" si="1"/>
        <v/>
      </c>
      <c r="K63" s="40" t="str">
        <f t="shared" si="2"/>
        <v/>
      </c>
      <c r="L63" s="41" t="str">
        <f>IF(A63="","",IFERROR(K63/(H63+SUMIFS(Transactions[Shares],Transactions[Ticker],A63,Transactions[Action],"Sell")*G63),0))</f>
        <v/>
      </c>
    </row>
    <row r="64" spans="2:12" x14ac:dyDescent="0.2">
      <c r="B64" s="39" t="str">
        <f>IF(Holdings!A64="","",SUMIFS(Transactions[Shares],Transactions[Ticker],Holdings!$A64,Transactions[Action],"Buy")-SUMIFS(Transactions[Shares],Transactions[Ticker],Holdings!$A64,Transactions[Action],"Sell"))</f>
        <v/>
      </c>
      <c r="C64" s="40" t="str">
        <f>IF(Holdings!A64="","",_xlfn.XLOOKUP(Holdings!$A64,Prices!$A$2:$A$100, Prices!$B$2:$B$100))</f>
        <v/>
      </c>
      <c r="D64" s="40" t="str">
        <f>IF(Holdings!B64="","",Holdings!$B64*Holdings!$C64)</f>
        <v/>
      </c>
      <c r="E64" s="39" t="str">
        <f>IF(A64="","",_xlfn.XLOOKUP(Holdings!$A64, Asset_Info!$A$2:$A$100,Asset_Info!$D$2:$D$100))</f>
        <v/>
      </c>
      <c r="F64" s="40" t="str">
        <f>IF(Holdings!A64="","",SUMIFS(Transactions[Total], Transactions[Ticker], Holdings!$A64))</f>
        <v/>
      </c>
      <c r="G64" s="40" t="str">
        <f>IF(A64="","",IFERROR(SUMIFS(Transactions[Total],Transactions[Ticker],A64,Transactions[Action],"Buy")/SUMIFS(Transactions[Shares],Transactions[Ticker],A64,Transactions[Action],"Buy"),0))</f>
        <v/>
      </c>
      <c r="H64" s="40" t="str">
        <f t="shared" si="0"/>
        <v/>
      </c>
      <c r="I64" s="40" t="str">
        <f>IFERROR(SUMIFS(Transactions[Total],Transactions[Ticker],A64,Transactions[Action],"Sell")*-1-SUMIFS(Transactions[Shares],Transactions[Ticker],A64,Transactions[Action],"Sell")*G64,"")</f>
        <v/>
      </c>
      <c r="J64" s="40" t="str">
        <f t="shared" si="1"/>
        <v/>
      </c>
      <c r="K64" s="40" t="str">
        <f t="shared" si="2"/>
        <v/>
      </c>
      <c r="L64" s="41" t="str">
        <f>IF(A64="","",IFERROR(K64/(H64+SUMIFS(Transactions[Shares],Transactions[Ticker],A64,Transactions[Action],"Sell")*G64),0))</f>
        <v/>
      </c>
    </row>
    <row r="65" spans="2:12" x14ac:dyDescent="0.2">
      <c r="B65" s="39" t="str">
        <f>IF(Holdings!A65="","",SUMIFS(Transactions[Shares],Transactions[Ticker],Holdings!$A65,Transactions[Action],"Buy")-SUMIFS(Transactions[Shares],Transactions[Ticker],Holdings!$A65,Transactions[Action],"Sell"))</f>
        <v/>
      </c>
      <c r="C65" s="40" t="str">
        <f>IF(Holdings!A65="","",_xlfn.XLOOKUP(Holdings!$A65,Prices!$A$2:$A$100, Prices!$B$2:$B$100))</f>
        <v/>
      </c>
      <c r="D65" s="40" t="str">
        <f>IF(Holdings!B65="","",Holdings!$B65*Holdings!$C65)</f>
        <v/>
      </c>
      <c r="E65" s="39" t="str">
        <f>IF(A65="","",_xlfn.XLOOKUP(Holdings!$A65, Asset_Info!$A$2:$A$100,Asset_Info!$D$2:$D$100))</f>
        <v/>
      </c>
      <c r="F65" s="40" t="str">
        <f>IF(Holdings!A65="","",SUMIFS(Transactions[Total], Transactions[Ticker], Holdings!$A65))</f>
        <v/>
      </c>
      <c r="G65" s="40" t="str">
        <f>IF(A65="","",IFERROR(SUMIFS(Transactions[Total],Transactions[Ticker],A65,Transactions[Action],"Buy")/SUMIFS(Transactions[Shares],Transactions[Ticker],A65,Transactions[Action],"Buy"),0))</f>
        <v/>
      </c>
      <c r="H65" s="40" t="str">
        <f t="shared" si="0"/>
        <v/>
      </c>
      <c r="I65" s="40" t="str">
        <f>IFERROR(SUMIFS(Transactions[Total],Transactions[Ticker],A65,Transactions[Action],"Sell")*-1-SUMIFS(Transactions[Shares],Transactions[Ticker],A65,Transactions[Action],"Sell")*G65,"")</f>
        <v/>
      </c>
      <c r="J65" s="40" t="str">
        <f t="shared" si="1"/>
        <v/>
      </c>
      <c r="K65" s="40" t="str">
        <f t="shared" si="2"/>
        <v/>
      </c>
      <c r="L65" s="41" t="str">
        <f>IF(A65="","",IFERROR(K65/(H65+SUMIFS(Transactions[Shares],Transactions[Ticker],A65,Transactions[Action],"Sell")*G65),0))</f>
        <v/>
      </c>
    </row>
    <row r="66" spans="2:12" x14ac:dyDescent="0.2">
      <c r="B66" s="39" t="str">
        <f>IF(Holdings!A66="","",SUMIFS(Transactions[Shares],Transactions[Ticker],Holdings!$A66,Transactions[Action],"Buy")-SUMIFS(Transactions[Shares],Transactions[Ticker],Holdings!$A66,Transactions[Action],"Sell"))</f>
        <v/>
      </c>
      <c r="C66" s="40" t="str">
        <f>IF(Holdings!A66="","",_xlfn.XLOOKUP(Holdings!$A66,Prices!$A$2:$A$100, Prices!$B$2:$B$100))</f>
        <v/>
      </c>
      <c r="D66" s="40" t="str">
        <f>IF(Holdings!B66="","",Holdings!$B66*Holdings!$C66)</f>
        <v/>
      </c>
      <c r="E66" s="39" t="str">
        <f>IF(A66="","",_xlfn.XLOOKUP(Holdings!$A66, Asset_Info!$A$2:$A$100,Asset_Info!$D$2:$D$100))</f>
        <v/>
      </c>
      <c r="F66" s="40" t="str">
        <f>IF(Holdings!A66="","",SUMIFS(Transactions[Total], Transactions[Ticker], Holdings!$A66))</f>
        <v/>
      </c>
      <c r="G66" s="40" t="str">
        <f>IF(A66="","",IFERROR(SUMIFS(Transactions[Total],Transactions[Ticker],A66,Transactions[Action],"Buy")/SUMIFS(Transactions[Shares],Transactions[Ticker],A66,Transactions[Action],"Buy"),0))</f>
        <v/>
      </c>
      <c r="H66" s="40" t="str">
        <f t="shared" si="0"/>
        <v/>
      </c>
      <c r="I66" s="40" t="str">
        <f>IFERROR(SUMIFS(Transactions[Total],Transactions[Ticker],A66,Transactions[Action],"Sell")*-1-SUMIFS(Transactions[Shares],Transactions[Ticker],A66,Transactions[Action],"Sell")*G66,"")</f>
        <v/>
      </c>
      <c r="J66" s="40" t="str">
        <f t="shared" si="1"/>
        <v/>
      </c>
      <c r="K66" s="40" t="str">
        <f t="shared" si="2"/>
        <v/>
      </c>
      <c r="L66" s="41" t="str">
        <f>IF(A66="","",IFERROR(K66/(H66+SUMIFS(Transactions[Shares],Transactions[Ticker],A66,Transactions[Action],"Sell")*G66),0))</f>
        <v/>
      </c>
    </row>
    <row r="67" spans="2:12" x14ac:dyDescent="0.2">
      <c r="B67" s="39" t="str">
        <f>IF(Holdings!A67="","",SUMIFS(Transactions[Shares],Transactions[Ticker],Holdings!$A67,Transactions[Action],"Buy")-SUMIFS(Transactions[Shares],Transactions[Ticker],Holdings!$A67,Transactions[Action],"Sell"))</f>
        <v/>
      </c>
      <c r="C67" s="40" t="str">
        <f>IF(Holdings!A67="","",_xlfn.XLOOKUP(Holdings!$A67,Prices!$A$2:$A$100, Prices!$B$2:$B$100))</f>
        <v/>
      </c>
      <c r="D67" s="40" t="str">
        <f>IF(Holdings!B67="","",Holdings!$B67*Holdings!$C67)</f>
        <v/>
      </c>
      <c r="E67" s="39" t="str">
        <f>IF(A67="","",_xlfn.XLOOKUP(Holdings!$A67, Asset_Info!$A$2:$A$100,Asset_Info!$D$2:$D$100))</f>
        <v/>
      </c>
      <c r="F67" s="40" t="str">
        <f>IF(Holdings!A67="","",SUMIFS(Transactions[Total], Transactions[Ticker], Holdings!$A67))</f>
        <v/>
      </c>
      <c r="G67" s="40" t="str">
        <f>IF(A67="","",IFERROR(SUMIFS(Transactions[Total],Transactions[Ticker],A67,Transactions[Action],"Buy")/SUMIFS(Transactions[Shares],Transactions[Ticker],A67,Transactions[Action],"Buy"),0))</f>
        <v/>
      </c>
      <c r="H67" s="40" t="str">
        <f t="shared" ref="H67:H100" si="3">IFERROR(B67*G67,"")</f>
        <v/>
      </c>
      <c r="I67" s="40" t="str">
        <f>IFERROR(SUMIFS(Transactions[Total],Transactions[Ticker],A67,Transactions[Action],"Sell")*-1-SUMIFS(Transactions[Shares],Transactions[Ticker],A67,Transactions[Action],"Sell")*G67,"")</f>
        <v/>
      </c>
      <c r="J67" s="40" t="str">
        <f t="shared" ref="J67:J100" si="4">IFERROR(D67-H67,"")</f>
        <v/>
      </c>
      <c r="K67" s="40" t="str">
        <f t="shared" ref="K67:K100" si="5">IFERROR(I67+J67,"")</f>
        <v/>
      </c>
      <c r="L67" s="41" t="str">
        <f>IF(A67="","",IFERROR(K67/(H67+SUMIFS(Transactions[Shares],Transactions[Ticker],A67,Transactions[Action],"Sell")*G67),0))</f>
        <v/>
      </c>
    </row>
    <row r="68" spans="2:12" x14ac:dyDescent="0.2">
      <c r="B68" s="39" t="str">
        <f>IF(Holdings!A68="","",SUMIFS(Transactions[Shares],Transactions[Ticker],Holdings!$A68,Transactions[Action],"Buy")-SUMIFS(Transactions[Shares],Transactions[Ticker],Holdings!$A68,Transactions[Action],"Sell"))</f>
        <v/>
      </c>
      <c r="C68" s="40" t="str">
        <f>IF(Holdings!A68="","",_xlfn.XLOOKUP(Holdings!$A68,Prices!$A$2:$A$100, Prices!$B$2:$B$100))</f>
        <v/>
      </c>
      <c r="D68" s="40" t="str">
        <f>IF(Holdings!B68="","",Holdings!$B68*Holdings!$C68)</f>
        <v/>
      </c>
      <c r="E68" s="39" t="str">
        <f>IF(A68="","",_xlfn.XLOOKUP(Holdings!$A68, Asset_Info!$A$2:$A$100,Asset_Info!$D$2:$D$100))</f>
        <v/>
      </c>
      <c r="F68" s="40" t="str">
        <f>IF(Holdings!A68="","",SUMIFS(Transactions[Total], Transactions[Ticker], Holdings!$A68))</f>
        <v/>
      </c>
      <c r="G68" s="40" t="str">
        <f>IF(A68="","",IFERROR(SUMIFS(Transactions[Total],Transactions[Ticker],A68,Transactions[Action],"Buy")/SUMIFS(Transactions[Shares],Transactions[Ticker],A68,Transactions[Action],"Buy"),0))</f>
        <v/>
      </c>
      <c r="H68" s="40" t="str">
        <f t="shared" si="3"/>
        <v/>
      </c>
      <c r="I68" s="40" t="str">
        <f>IFERROR(SUMIFS(Transactions[Total],Transactions[Ticker],A68,Transactions[Action],"Sell")*-1-SUMIFS(Transactions[Shares],Transactions[Ticker],A68,Transactions[Action],"Sell")*G68,"")</f>
        <v/>
      </c>
      <c r="J68" s="40" t="str">
        <f t="shared" si="4"/>
        <v/>
      </c>
      <c r="K68" s="40" t="str">
        <f t="shared" si="5"/>
        <v/>
      </c>
      <c r="L68" s="41" t="str">
        <f>IF(A68="","",IFERROR(K68/(H68+SUMIFS(Transactions[Shares],Transactions[Ticker],A68,Transactions[Action],"Sell")*G68),0))</f>
        <v/>
      </c>
    </row>
    <row r="69" spans="2:12" x14ac:dyDescent="0.2">
      <c r="B69" s="39" t="str">
        <f>IF(Holdings!A69="","",SUMIFS(Transactions[Shares],Transactions[Ticker],Holdings!$A69,Transactions[Action],"Buy")-SUMIFS(Transactions[Shares],Transactions[Ticker],Holdings!$A69,Transactions[Action],"Sell"))</f>
        <v/>
      </c>
      <c r="C69" s="40" t="str">
        <f>IF(Holdings!A69="","",_xlfn.XLOOKUP(Holdings!$A69,Prices!$A$2:$A$100, Prices!$B$2:$B$100))</f>
        <v/>
      </c>
      <c r="D69" s="40" t="str">
        <f>IF(Holdings!B69="","",Holdings!$B69*Holdings!$C69)</f>
        <v/>
      </c>
      <c r="E69" s="39" t="str">
        <f>IF(A69="","",_xlfn.XLOOKUP(Holdings!$A69, Asset_Info!$A$2:$A$100,Asset_Info!$D$2:$D$100))</f>
        <v/>
      </c>
      <c r="F69" s="40" t="str">
        <f>IF(Holdings!A69="","",SUMIFS(Transactions[Total], Transactions[Ticker], Holdings!$A69))</f>
        <v/>
      </c>
      <c r="G69" s="40" t="str">
        <f>IF(A69="","",IFERROR(SUMIFS(Transactions[Total],Transactions[Ticker],A69,Transactions[Action],"Buy")/SUMIFS(Transactions[Shares],Transactions[Ticker],A69,Transactions[Action],"Buy"),0))</f>
        <v/>
      </c>
      <c r="H69" s="40" t="str">
        <f t="shared" si="3"/>
        <v/>
      </c>
      <c r="I69" s="40" t="str">
        <f>IFERROR(SUMIFS(Transactions[Total],Transactions[Ticker],A69,Transactions[Action],"Sell")*-1-SUMIFS(Transactions[Shares],Transactions[Ticker],A69,Transactions[Action],"Sell")*G69,"")</f>
        <v/>
      </c>
      <c r="J69" s="40" t="str">
        <f t="shared" si="4"/>
        <v/>
      </c>
      <c r="K69" s="40" t="str">
        <f t="shared" si="5"/>
        <v/>
      </c>
      <c r="L69" s="41" t="str">
        <f>IF(A69="","",IFERROR(K69/(H69+SUMIFS(Transactions[Shares],Transactions[Ticker],A69,Transactions[Action],"Sell")*G69),0))</f>
        <v/>
      </c>
    </row>
    <row r="70" spans="2:12" x14ac:dyDescent="0.2">
      <c r="B70" s="39" t="str">
        <f>IF(Holdings!A70="","",SUMIFS(Transactions[Shares],Transactions[Ticker],Holdings!$A70,Transactions[Action],"Buy")-SUMIFS(Transactions[Shares],Transactions[Ticker],Holdings!$A70,Transactions[Action],"Sell"))</f>
        <v/>
      </c>
      <c r="C70" s="40" t="str">
        <f>IF(Holdings!A70="","",_xlfn.XLOOKUP(Holdings!$A70,Prices!$A$2:$A$100, Prices!$B$2:$B$100))</f>
        <v/>
      </c>
      <c r="D70" s="40" t="str">
        <f>IF(Holdings!B70="","",Holdings!$B70*Holdings!$C70)</f>
        <v/>
      </c>
      <c r="E70" s="39" t="str">
        <f>IF(A70="","",_xlfn.XLOOKUP(Holdings!$A70, Asset_Info!$A$2:$A$100,Asset_Info!$D$2:$D$100))</f>
        <v/>
      </c>
      <c r="F70" s="40" t="str">
        <f>IF(Holdings!A70="","",SUMIFS(Transactions[Total], Transactions[Ticker], Holdings!$A70))</f>
        <v/>
      </c>
      <c r="G70" s="40" t="str">
        <f>IF(A70="","",IFERROR(SUMIFS(Transactions[Total],Transactions[Ticker],A70,Transactions[Action],"Buy")/SUMIFS(Transactions[Shares],Transactions[Ticker],A70,Transactions[Action],"Buy"),0))</f>
        <v/>
      </c>
      <c r="H70" s="40" t="str">
        <f t="shared" si="3"/>
        <v/>
      </c>
      <c r="I70" s="40" t="str">
        <f>IFERROR(SUMIFS(Transactions[Total],Transactions[Ticker],A70,Transactions[Action],"Sell")*-1-SUMIFS(Transactions[Shares],Transactions[Ticker],A70,Transactions[Action],"Sell")*G70,"")</f>
        <v/>
      </c>
      <c r="J70" s="40" t="str">
        <f t="shared" si="4"/>
        <v/>
      </c>
      <c r="K70" s="40" t="str">
        <f t="shared" si="5"/>
        <v/>
      </c>
      <c r="L70" s="41" t="str">
        <f>IF(A70="","",IFERROR(K70/(H70+SUMIFS(Transactions[Shares],Transactions[Ticker],A70,Transactions[Action],"Sell")*G70),0))</f>
        <v/>
      </c>
    </row>
    <row r="71" spans="2:12" x14ac:dyDescent="0.2">
      <c r="B71" s="39" t="str">
        <f>IF(Holdings!A71="","",SUMIFS(Transactions[Shares],Transactions[Ticker],Holdings!$A71,Transactions[Action],"Buy")-SUMIFS(Transactions[Shares],Transactions[Ticker],Holdings!$A71,Transactions[Action],"Sell"))</f>
        <v/>
      </c>
      <c r="C71" s="40" t="str">
        <f>IF(Holdings!A71="","",_xlfn.XLOOKUP(Holdings!$A71,Prices!$A$2:$A$100, Prices!$B$2:$B$100))</f>
        <v/>
      </c>
      <c r="D71" s="40" t="str">
        <f>IF(Holdings!B71="","",Holdings!$B71*Holdings!$C71)</f>
        <v/>
      </c>
      <c r="E71" s="39" t="str">
        <f>IF(A71="","",_xlfn.XLOOKUP(Holdings!$A71, Asset_Info!$A$2:$A$100,Asset_Info!$D$2:$D$100))</f>
        <v/>
      </c>
      <c r="F71" s="40" t="str">
        <f>IF(Holdings!A71="","",SUMIFS(Transactions[Total], Transactions[Ticker], Holdings!$A71))</f>
        <v/>
      </c>
      <c r="G71" s="40" t="str">
        <f>IF(A71="","",IFERROR(SUMIFS(Transactions[Total],Transactions[Ticker],A71,Transactions[Action],"Buy")/SUMIFS(Transactions[Shares],Transactions[Ticker],A71,Transactions[Action],"Buy"),0))</f>
        <v/>
      </c>
      <c r="H71" s="40" t="str">
        <f t="shared" si="3"/>
        <v/>
      </c>
      <c r="I71" s="40" t="str">
        <f>IFERROR(SUMIFS(Transactions[Total],Transactions[Ticker],A71,Transactions[Action],"Sell")*-1-SUMIFS(Transactions[Shares],Transactions[Ticker],A71,Transactions[Action],"Sell")*G71,"")</f>
        <v/>
      </c>
      <c r="J71" s="40" t="str">
        <f t="shared" si="4"/>
        <v/>
      </c>
      <c r="K71" s="40" t="str">
        <f t="shared" si="5"/>
        <v/>
      </c>
      <c r="L71" s="41" t="str">
        <f>IF(A71="","",IFERROR(K71/(H71+SUMIFS(Transactions[Shares],Transactions[Ticker],A71,Transactions[Action],"Sell")*G71),0))</f>
        <v/>
      </c>
    </row>
    <row r="72" spans="2:12" x14ac:dyDescent="0.2">
      <c r="B72" s="39" t="str">
        <f>IF(Holdings!A72="","",SUMIFS(Transactions[Shares],Transactions[Ticker],Holdings!$A72,Transactions[Action],"Buy")-SUMIFS(Transactions[Shares],Transactions[Ticker],Holdings!$A72,Transactions[Action],"Sell"))</f>
        <v/>
      </c>
      <c r="C72" s="40" t="str">
        <f>IF(Holdings!A72="","",_xlfn.XLOOKUP(Holdings!$A72,Prices!$A$2:$A$100, Prices!$B$2:$B$100))</f>
        <v/>
      </c>
      <c r="D72" s="40" t="str">
        <f>IF(Holdings!B72="","",Holdings!$B72*Holdings!$C72)</f>
        <v/>
      </c>
      <c r="E72" s="39" t="str">
        <f>IF(A72="","",_xlfn.XLOOKUP(Holdings!$A72, Asset_Info!$A$2:$A$100,Asset_Info!$D$2:$D$100))</f>
        <v/>
      </c>
      <c r="F72" s="40" t="str">
        <f>IF(Holdings!A72="","",SUMIFS(Transactions[Total], Transactions[Ticker], Holdings!$A72))</f>
        <v/>
      </c>
      <c r="G72" s="40" t="str">
        <f>IF(A72="","",IFERROR(SUMIFS(Transactions[Total],Transactions[Ticker],A72,Transactions[Action],"Buy")/SUMIFS(Transactions[Shares],Transactions[Ticker],A72,Transactions[Action],"Buy"),0))</f>
        <v/>
      </c>
      <c r="H72" s="40" t="str">
        <f t="shared" si="3"/>
        <v/>
      </c>
      <c r="I72" s="40" t="str">
        <f>IFERROR(SUMIFS(Transactions[Total],Transactions[Ticker],A72,Transactions[Action],"Sell")*-1-SUMIFS(Transactions[Shares],Transactions[Ticker],A72,Transactions[Action],"Sell")*G72,"")</f>
        <v/>
      </c>
      <c r="J72" s="40" t="str">
        <f t="shared" si="4"/>
        <v/>
      </c>
      <c r="K72" s="40" t="str">
        <f t="shared" si="5"/>
        <v/>
      </c>
      <c r="L72" s="41" t="str">
        <f>IF(A72="","",IFERROR(K72/(H72+SUMIFS(Transactions[Shares],Transactions[Ticker],A72,Transactions[Action],"Sell")*G72),0))</f>
        <v/>
      </c>
    </row>
    <row r="73" spans="2:12" x14ac:dyDescent="0.2">
      <c r="B73" s="39" t="str">
        <f>IF(Holdings!A73="","",SUMIFS(Transactions[Shares],Transactions[Ticker],Holdings!$A73,Transactions[Action],"Buy")-SUMIFS(Transactions[Shares],Transactions[Ticker],Holdings!$A73,Transactions[Action],"Sell"))</f>
        <v/>
      </c>
      <c r="C73" s="40" t="str">
        <f>IF(Holdings!A73="","",_xlfn.XLOOKUP(Holdings!$A73,Prices!$A$2:$A$100, Prices!$B$2:$B$100))</f>
        <v/>
      </c>
      <c r="D73" s="40" t="str">
        <f>IF(Holdings!B73="","",Holdings!$B73*Holdings!$C73)</f>
        <v/>
      </c>
      <c r="E73" s="39" t="str">
        <f>IF(A73="","",_xlfn.XLOOKUP(Holdings!$A73, Asset_Info!$A$2:$A$100,Asset_Info!$D$2:$D$100))</f>
        <v/>
      </c>
      <c r="F73" s="40" t="str">
        <f>IF(Holdings!A73="","",SUMIFS(Transactions[Total], Transactions[Ticker], Holdings!$A73))</f>
        <v/>
      </c>
      <c r="G73" s="40" t="str">
        <f>IF(A73="","",IFERROR(SUMIFS(Transactions[Total],Transactions[Ticker],A73,Transactions[Action],"Buy")/SUMIFS(Transactions[Shares],Transactions[Ticker],A73,Transactions[Action],"Buy"),0))</f>
        <v/>
      </c>
      <c r="H73" s="40" t="str">
        <f t="shared" si="3"/>
        <v/>
      </c>
      <c r="I73" s="40" t="str">
        <f>IFERROR(SUMIFS(Transactions[Total],Transactions[Ticker],A73,Transactions[Action],"Sell")*-1-SUMIFS(Transactions[Shares],Transactions[Ticker],A73,Transactions[Action],"Sell")*G73,"")</f>
        <v/>
      </c>
      <c r="J73" s="40" t="str">
        <f t="shared" si="4"/>
        <v/>
      </c>
      <c r="K73" s="40" t="str">
        <f t="shared" si="5"/>
        <v/>
      </c>
      <c r="L73" s="41" t="str">
        <f>IF(A73="","",IFERROR(K73/(H73+SUMIFS(Transactions[Shares],Transactions[Ticker],A73,Transactions[Action],"Sell")*G73),0))</f>
        <v/>
      </c>
    </row>
    <row r="74" spans="2:12" x14ac:dyDescent="0.2">
      <c r="B74" s="39" t="str">
        <f>IF(Holdings!A74="","",SUMIFS(Transactions[Shares],Transactions[Ticker],Holdings!$A74,Transactions[Action],"Buy")-SUMIFS(Transactions[Shares],Transactions[Ticker],Holdings!$A74,Transactions[Action],"Sell"))</f>
        <v/>
      </c>
      <c r="C74" s="40" t="str">
        <f>IF(Holdings!A74="","",_xlfn.XLOOKUP(Holdings!$A74,Prices!$A$2:$A$100, Prices!$B$2:$B$100))</f>
        <v/>
      </c>
      <c r="D74" s="40" t="str">
        <f>IF(Holdings!B74="","",Holdings!$B74*Holdings!$C74)</f>
        <v/>
      </c>
      <c r="E74" s="39" t="str">
        <f>IF(A74="","",_xlfn.XLOOKUP(Holdings!$A74, Asset_Info!$A$2:$A$100,Asset_Info!$D$2:$D$100))</f>
        <v/>
      </c>
      <c r="F74" s="40" t="str">
        <f>IF(Holdings!A74="","",SUMIFS(Transactions[Total], Transactions[Ticker], Holdings!$A74))</f>
        <v/>
      </c>
      <c r="G74" s="40" t="str">
        <f>IF(A74="","",IFERROR(SUMIFS(Transactions[Total],Transactions[Ticker],A74,Transactions[Action],"Buy")/SUMIFS(Transactions[Shares],Transactions[Ticker],A74,Transactions[Action],"Buy"),0))</f>
        <v/>
      </c>
      <c r="H74" s="40" t="str">
        <f t="shared" si="3"/>
        <v/>
      </c>
      <c r="I74" s="40" t="str">
        <f>IFERROR(SUMIFS(Transactions[Total],Transactions[Ticker],A74,Transactions[Action],"Sell")*-1-SUMIFS(Transactions[Shares],Transactions[Ticker],A74,Transactions[Action],"Sell")*G74,"")</f>
        <v/>
      </c>
      <c r="J74" s="40" t="str">
        <f t="shared" si="4"/>
        <v/>
      </c>
      <c r="K74" s="40" t="str">
        <f t="shared" si="5"/>
        <v/>
      </c>
      <c r="L74" s="41" t="str">
        <f>IF(A74="","",IFERROR(K74/(H74+SUMIFS(Transactions[Shares],Transactions[Ticker],A74,Transactions[Action],"Sell")*G74),0))</f>
        <v/>
      </c>
    </row>
    <row r="75" spans="2:12" x14ac:dyDescent="0.2">
      <c r="B75" s="39" t="str">
        <f>IF(Holdings!A75="","",SUMIFS(Transactions[Shares],Transactions[Ticker],Holdings!$A75,Transactions[Action],"Buy")-SUMIFS(Transactions[Shares],Transactions[Ticker],Holdings!$A75,Transactions[Action],"Sell"))</f>
        <v/>
      </c>
      <c r="C75" s="40" t="str">
        <f>IF(Holdings!A75="","",_xlfn.XLOOKUP(Holdings!$A75,Prices!$A$2:$A$100, Prices!$B$2:$B$100))</f>
        <v/>
      </c>
      <c r="D75" s="40" t="str">
        <f>IF(Holdings!B75="","",Holdings!$B75*Holdings!$C75)</f>
        <v/>
      </c>
      <c r="E75" s="39" t="str">
        <f>IF(A75="","",_xlfn.XLOOKUP(Holdings!$A75, Asset_Info!$A$2:$A$100,Asset_Info!$D$2:$D$100))</f>
        <v/>
      </c>
      <c r="F75" s="40" t="str">
        <f>IF(Holdings!A75="","",SUMIFS(Transactions[Total], Transactions[Ticker], Holdings!$A75))</f>
        <v/>
      </c>
      <c r="G75" s="40" t="str">
        <f>IF(A75="","",IFERROR(SUMIFS(Transactions[Total],Transactions[Ticker],A75,Transactions[Action],"Buy")/SUMIFS(Transactions[Shares],Transactions[Ticker],A75,Transactions[Action],"Buy"),0))</f>
        <v/>
      </c>
      <c r="H75" s="40" t="str">
        <f t="shared" si="3"/>
        <v/>
      </c>
      <c r="I75" s="40" t="str">
        <f>IFERROR(SUMIFS(Transactions[Total],Transactions[Ticker],A75,Transactions[Action],"Sell")*-1-SUMIFS(Transactions[Shares],Transactions[Ticker],A75,Transactions[Action],"Sell")*G75,"")</f>
        <v/>
      </c>
      <c r="J75" s="40" t="str">
        <f t="shared" si="4"/>
        <v/>
      </c>
      <c r="K75" s="40" t="str">
        <f t="shared" si="5"/>
        <v/>
      </c>
      <c r="L75" s="41" t="str">
        <f>IF(A75="","",IFERROR(K75/(H75+SUMIFS(Transactions[Shares],Transactions[Ticker],A75,Transactions[Action],"Sell")*G75),0))</f>
        <v/>
      </c>
    </row>
    <row r="76" spans="2:12" x14ac:dyDescent="0.2">
      <c r="B76" s="39" t="str">
        <f>IF(Holdings!A76="","",SUMIFS(Transactions[Shares],Transactions[Ticker],Holdings!$A76,Transactions[Action],"Buy")-SUMIFS(Transactions[Shares],Transactions[Ticker],Holdings!$A76,Transactions[Action],"Sell"))</f>
        <v/>
      </c>
      <c r="C76" s="40" t="str">
        <f>IF(Holdings!A76="","",_xlfn.XLOOKUP(Holdings!$A76,Prices!$A$2:$A$100, Prices!$B$2:$B$100))</f>
        <v/>
      </c>
      <c r="D76" s="40" t="str">
        <f>IF(Holdings!B76="","",Holdings!$B76*Holdings!$C76)</f>
        <v/>
      </c>
      <c r="E76" s="39" t="str">
        <f>IF(A76="","",_xlfn.XLOOKUP(Holdings!$A76, Asset_Info!$A$2:$A$100,Asset_Info!$D$2:$D$100))</f>
        <v/>
      </c>
      <c r="F76" s="40" t="str">
        <f>IF(Holdings!A76="","",SUMIFS(Transactions[Total], Transactions[Ticker], Holdings!$A76))</f>
        <v/>
      </c>
      <c r="G76" s="40" t="str">
        <f>IF(A76="","",IFERROR(SUMIFS(Transactions[Total],Transactions[Ticker],A76,Transactions[Action],"Buy")/SUMIFS(Transactions[Shares],Transactions[Ticker],A76,Transactions[Action],"Buy"),0))</f>
        <v/>
      </c>
      <c r="H76" s="40" t="str">
        <f t="shared" si="3"/>
        <v/>
      </c>
      <c r="I76" s="40" t="str">
        <f>IFERROR(SUMIFS(Transactions[Total],Transactions[Ticker],A76,Transactions[Action],"Sell")*-1-SUMIFS(Transactions[Shares],Transactions[Ticker],A76,Transactions[Action],"Sell")*G76,"")</f>
        <v/>
      </c>
      <c r="J76" s="40" t="str">
        <f t="shared" si="4"/>
        <v/>
      </c>
      <c r="K76" s="40" t="str">
        <f t="shared" si="5"/>
        <v/>
      </c>
      <c r="L76" s="41" t="str">
        <f>IF(A76="","",IFERROR(K76/(H76+SUMIFS(Transactions[Shares],Transactions[Ticker],A76,Transactions[Action],"Sell")*G76),0))</f>
        <v/>
      </c>
    </row>
    <row r="77" spans="2:12" x14ac:dyDescent="0.2">
      <c r="B77" s="39" t="str">
        <f>IF(Holdings!A77="","",SUMIFS(Transactions[Shares],Transactions[Ticker],Holdings!$A77,Transactions[Action],"Buy")-SUMIFS(Transactions[Shares],Transactions[Ticker],Holdings!$A77,Transactions[Action],"Sell"))</f>
        <v/>
      </c>
      <c r="C77" s="40" t="str">
        <f>IF(Holdings!A77="","",_xlfn.XLOOKUP(Holdings!$A77,Prices!$A$2:$A$100, Prices!$B$2:$B$100))</f>
        <v/>
      </c>
      <c r="D77" s="40" t="str">
        <f>IF(Holdings!B77="","",Holdings!$B77*Holdings!$C77)</f>
        <v/>
      </c>
      <c r="E77" s="39" t="str">
        <f>IF(A77="","",_xlfn.XLOOKUP(Holdings!$A77, Asset_Info!$A$2:$A$100,Asset_Info!$D$2:$D$100))</f>
        <v/>
      </c>
      <c r="F77" s="40" t="str">
        <f>IF(Holdings!A77="","",SUMIFS(Transactions[Total], Transactions[Ticker], Holdings!$A77))</f>
        <v/>
      </c>
      <c r="G77" s="40" t="str">
        <f>IF(A77="","",IFERROR(SUMIFS(Transactions[Total],Transactions[Ticker],A77,Transactions[Action],"Buy")/SUMIFS(Transactions[Shares],Transactions[Ticker],A77,Transactions[Action],"Buy"),0))</f>
        <v/>
      </c>
      <c r="H77" s="40" t="str">
        <f t="shared" si="3"/>
        <v/>
      </c>
      <c r="I77" s="40" t="str">
        <f>IFERROR(SUMIFS(Transactions[Total],Transactions[Ticker],A77,Transactions[Action],"Sell")*-1-SUMIFS(Transactions[Shares],Transactions[Ticker],A77,Transactions[Action],"Sell")*G77,"")</f>
        <v/>
      </c>
      <c r="J77" s="40" t="str">
        <f t="shared" si="4"/>
        <v/>
      </c>
      <c r="K77" s="40" t="str">
        <f t="shared" si="5"/>
        <v/>
      </c>
      <c r="L77" s="41" t="str">
        <f>IF(A77="","",IFERROR(K77/(H77+SUMIFS(Transactions[Shares],Transactions[Ticker],A77,Transactions[Action],"Sell")*G77),0))</f>
        <v/>
      </c>
    </row>
    <row r="78" spans="2:12" x14ac:dyDescent="0.2">
      <c r="B78" s="39" t="str">
        <f>IF(Holdings!A78="","",SUMIFS(Transactions[Shares],Transactions[Ticker],Holdings!$A78,Transactions[Action],"Buy")-SUMIFS(Transactions[Shares],Transactions[Ticker],Holdings!$A78,Transactions[Action],"Sell"))</f>
        <v/>
      </c>
      <c r="C78" s="40" t="str">
        <f>IF(Holdings!A78="","",_xlfn.XLOOKUP(Holdings!$A78,Prices!$A$2:$A$100, Prices!$B$2:$B$100))</f>
        <v/>
      </c>
      <c r="D78" s="40" t="str">
        <f>IF(Holdings!B78="","",Holdings!$B78*Holdings!$C78)</f>
        <v/>
      </c>
      <c r="E78" s="39" t="str">
        <f>IF(A78="","",_xlfn.XLOOKUP(Holdings!$A78, Asset_Info!$A$2:$A$100,Asset_Info!$D$2:$D$100))</f>
        <v/>
      </c>
      <c r="F78" s="40" t="str">
        <f>IF(Holdings!A78="","",SUMIFS(Transactions[Total], Transactions[Ticker], Holdings!$A78))</f>
        <v/>
      </c>
      <c r="G78" s="40" t="str">
        <f>IF(A78="","",IFERROR(SUMIFS(Transactions[Total],Transactions[Ticker],A78,Transactions[Action],"Buy")/SUMIFS(Transactions[Shares],Transactions[Ticker],A78,Transactions[Action],"Buy"),0))</f>
        <v/>
      </c>
      <c r="H78" s="40" t="str">
        <f t="shared" si="3"/>
        <v/>
      </c>
      <c r="I78" s="40" t="str">
        <f>IFERROR(SUMIFS(Transactions[Total],Transactions[Ticker],A78,Transactions[Action],"Sell")*-1-SUMIFS(Transactions[Shares],Transactions[Ticker],A78,Transactions[Action],"Sell")*G78,"")</f>
        <v/>
      </c>
      <c r="J78" s="40" t="str">
        <f t="shared" si="4"/>
        <v/>
      </c>
      <c r="K78" s="40" t="str">
        <f t="shared" si="5"/>
        <v/>
      </c>
      <c r="L78" s="41" t="str">
        <f>IF(A78="","",IFERROR(K78/(H78+SUMIFS(Transactions[Shares],Transactions[Ticker],A78,Transactions[Action],"Sell")*G78),0))</f>
        <v/>
      </c>
    </row>
    <row r="79" spans="2:12" x14ac:dyDescent="0.2">
      <c r="B79" s="39" t="str">
        <f>IF(Holdings!A79="","",SUMIFS(Transactions[Shares],Transactions[Ticker],Holdings!$A79,Transactions[Action],"Buy")-SUMIFS(Transactions[Shares],Transactions[Ticker],Holdings!$A79,Transactions[Action],"Sell"))</f>
        <v/>
      </c>
      <c r="C79" s="40" t="str">
        <f>IF(Holdings!A79="","",_xlfn.XLOOKUP(Holdings!$A79,Prices!$A$2:$A$100, Prices!$B$2:$B$100))</f>
        <v/>
      </c>
      <c r="D79" s="40" t="str">
        <f>IF(Holdings!B79="","",Holdings!$B79*Holdings!$C79)</f>
        <v/>
      </c>
      <c r="E79" s="39" t="str">
        <f>IF(A79="","",_xlfn.XLOOKUP(Holdings!$A79, Asset_Info!$A$2:$A$100,Asset_Info!$D$2:$D$100))</f>
        <v/>
      </c>
      <c r="F79" s="40" t="str">
        <f>IF(Holdings!A79="","",SUMIFS(Transactions[Total], Transactions[Ticker], Holdings!$A79))</f>
        <v/>
      </c>
      <c r="G79" s="40" t="str">
        <f>IF(A79="","",IFERROR(SUMIFS(Transactions[Total],Transactions[Ticker],A79,Transactions[Action],"Buy")/SUMIFS(Transactions[Shares],Transactions[Ticker],A79,Transactions[Action],"Buy"),0))</f>
        <v/>
      </c>
      <c r="H79" s="40" t="str">
        <f t="shared" si="3"/>
        <v/>
      </c>
      <c r="I79" s="40" t="str">
        <f>IFERROR(SUMIFS(Transactions[Total],Transactions[Ticker],A79,Transactions[Action],"Sell")*-1-SUMIFS(Transactions[Shares],Transactions[Ticker],A79,Transactions[Action],"Sell")*G79,"")</f>
        <v/>
      </c>
      <c r="J79" s="40" t="str">
        <f t="shared" si="4"/>
        <v/>
      </c>
      <c r="K79" s="40" t="str">
        <f t="shared" si="5"/>
        <v/>
      </c>
      <c r="L79" s="41" t="str">
        <f>IF(A79="","",IFERROR(K79/(H79+SUMIFS(Transactions[Shares],Transactions[Ticker],A79,Transactions[Action],"Sell")*G79),0))</f>
        <v/>
      </c>
    </row>
    <row r="80" spans="2:12" x14ac:dyDescent="0.2">
      <c r="B80" s="39" t="str">
        <f>IF(Holdings!A80="","",SUMIFS(Transactions[Shares],Transactions[Ticker],Holdings!$A80,Transactions[Action],"Buy")-SUMIFS(Transactions[Shares],Transactions[Ticker],Holdings!$A80,Transactions[Action],"Sell"))</f>
        <v/>
      </c>
      <c r="C80" s="40" t="str">
        <f>IF(Holdings!A80="","",_xlfn.XLOOKUP(Holdings!$A80,Prices!$A$2:$A$100, Prices!$B$2:$B$100))</f>
        <v/>
      </c>
      <c r="D80" s="40" t="str">
        <f>IF(Holdings!B80="","",Holdings!$B80*Holdings!$C80)</f>
        <v/>
      </c>
      <c r="E80" s="39" t="str">
        <f>IF(A80="","",_xlfn.XLOOKUP(Holdings!$A80, Asset_Info!$A$2:$A$100,Asset_Info!$D$2:$D$100))</f>
        <v/>
      </c>
      <c r="F80" s="40" t="str">
        <f>IF(Holdings!A80="","",SUMIFS(Transactions[Total], Transactions[Ticker], Holdings!$A80))</f>
        <v/>
      </c>
      <c r="G80" s="40" t="str">
        <f>IF(A80="","",IFERROR(SUMIFS(Transactions[Total],Transactions[Ticker],A80,Transactions[Action],"Buy")/SUMIFS(Transactions[Shares],Transactions[Ticker],A80,Transactions[Action],"Buy"),0))</f>
        <v/>
      </c>
      <c r="H80" s="40" t="str">
        <f t="shared" si="3"/>
        <v/>
      </c>
      <c r="I80" s="40" t="str">
        <f>IFERROR(SUMIFS(Transactions[Total],Transactions[Ticker],A80,Transactions[Action],"Sell")*-1-SUMIFS(Transactions[Shares],Transactions[Ticker],A80,Transactions[Action],"Sell")*G80,"")</f>
        <v/>
      </c>
      <c r="J80" s="40" t="str">
        <f t="shared" si="4"/>
        <v/>
      </c>
      <c r="K80" s="40" t="str">
        <f t="shared" si="5"/>
        <v/>
      </c>
      <c r="L80" s="41" t="str">
        <f>IF(A80="","",IFERROR(K80/(H80+SUMIFS(Transactions[Shares],Transactions[Ticker],A80,Transactions[Action],"Sell")*G80),0))</f>
        <v/>
      </c>
    </row>
    <row r="81" spans="2:12" x14ac:dyDescent="0.2">
      <c r="B81" s="39" t="str">
        <f>IF(Holdings!A81="","",SUMIFS(Transactions[Shares],Transactions[Ticker],Holdings!$A81,Transactions[Action],"Buy")-SUMIFS(Transactions[Shares],Transactions[Ticker],Holdings!$A81,Transactions[Action],"Sell"))</f>
        <v/>
      </c>
      <c r="C81" s="40" t="str">
        <f>IF(Holdings!A81="","",_xlfn.XLOOKUP(Holdings!$A81,Prices!$A$2:$A$100, Prices!$B$2:$B$100))</f>
        <v/>
      </c>
      <c r="D81" s="40" t="str">
        <f>IF(Holdings!B81="","",Holdings!$B81*Holdings!$C81)</f>
        <v/>
      </c>
      <c r="E81" s="39" t="str">
        <f>IF(A81="","",_xlfn.XLOOKUP(Holdings!$A81, Asset_Info!$A$2:$A$100,Asset_Info!$D$2:$D$100))</f>
        <v/>
      </c>
      <c r="F81" s="40" t="str">
        <f>IF(Holdings!A81="","",SUMIFS(Transactions[Total], Transactions[Ticker], Holdings!$A81))</f>
        <v/>
      </c>
      <c r="G81" s="40" t="str">
        <f>IF(A81="","",IFERROR(SUMIFS(Transactions[Total],Transactions[Ticker],A81,Transactions[Action],"Buy")/SUMIFS(Transactions[Shares],Transactions[Ticker],A81,Transactions[Action],"Buy"),0))</f>
        <v/>
      </c>
      <c r="H81" s="40" t="str">
        <f t="shared" si="3"/>
        <v/>
      </c>
      <c r="I81" s="40" t="str">
        <f>IFERROR(SUMIFS(Transactions[Total],Transactions[Ticker],A81,Transactions[Action],"Sell")*-1-SUMIFS(Transactions[Shares],Transactions[Ticker],A81,Transactions[Action],"Sell")*G81,"")</f>
        <v/>
      </c>
      <c r="J81" s="40" t="str">
        <f t="shared" si="4"/>
        <v/>
      </c>
      <c r="K81" s="40" t="str">
        <f t="shared" si="5"/>
        <v/>
      </c>
      <c r="L81" s="41" t="str">
        <f>IF(A81="","",IFERROR(K81/(H81+SUMIFS(Transactions[Shares],Transactions[Ticker],A81,Transactions[Action],"Sell")*G81),0))</f>
        <v/>
      </c>
    </row>
    <row r="82" spans="2:12" x14ac:dyDescent="0.2">
      <c r="B82" s="39" t="str">
        <f>IF(Holdings!A82="","",SUMIFS(Transactions[Shares],Transactions[Ticker],Holdings!$A82,Transactions[Action],"Buy")-SUMIFS(Transactions[Shares],Transactions[Ticker],Holdings!$A82,Transactions[Action],"Sell"))</f>
        <v/>
      </c>
      <c r="C82" s="40" t="str">
        <f>IF(Holdings!A82="","",_xlfn.XLOOKUP(Holdings!$A82,Prices!$A$2:$A$100, Prices!$B$2:$B$100))</f>
        <v/>
      </c>
      <c r="D82" s="40" t="str">
        <f>IF(Holdings!B82="","",Holdings!$B82*Holdings!$C82)</f>
        <v/>
      </c>
      <c r="E82" s="39" t="str">
        <f>IF(A82="","",_xlfn.XLOOKUP(Holdings!$A82, Asset_Info!$A$2:$A$100,Asset_Info!$D$2:$D$100))</f>
        <v/>
      </c>
      <c r="F82" s="40" t="str">
        <f>IF(Holdings!A82="","",SUMIFS(Transactions[Total], Transactions[Ticker], Holdings!$A82))</f>
        <v/>
      </c>
      <c r="G82" s="40" t="str">
        <f>IF(A82="","",IFERROR(SUMIFS(Transactions[Total],Transactions[Ticker],A82,Transactions[Action],"Buy")/SUMIFS(Transactions[Shares],Transactions[Ticker],A82,Transactions[Action],"Buy"),0))</f>
        <v/>
      </c>
      <c r="H82" s="40" t="str">
        <f t="shared" si="3"/>
        <v/>
      </c>
      <c r="I82" s="40" t="str">
        <f>IFERROR(SUMIFS(Transactions[Total],Transactions[Ticker],A82,Transactions[Action],"Sell")*-1-SUMIFS(Transactions[Shares],Transactions[Ticker],A82,Transactions[Action],"Sell")*G82,"")</f>
        <v/>
      </c>
      <c r="J82" s="40" t="str">
        <f t="shared" si="4"/>
        <v/>
      </c>
      <c r="K82" s="40" t="str">
        <f t="shared" si="5"/>
        <v/>
      </c>
      <c r="L82" s="41" t="str">
        <f>IF(A82="","",IFERROR(K82/(H82+SUMIFS(Transactions[Shares],Transactions[Ticker],A82,Transactions[Action],"Sell")*G82),0))</f>
        <v/>
      </c>
    </row>
    <row r="83" spans="2:12" x14ac:dyDescent="0.2">
      <c r="B83" s="39" t="str">
        <f>IF(Holdings!A83="","",SUMIFS(Transactions[Shares],Transactions[Ticker],Holdings!$A83,Transactions[Action],"Buy")-SUMIFS(Transactions[Shares],Transactions[Ticker],Holdings!$A83,Transactions[Action],"Sell"))</f>
        <v/>
      </c>
      <c r="C83" s="40" t="str">
        <f>IF(Holdings!A83="","",_xlfn.XLOOKUP(Holdings!$A83,Prices!$A$2:$A$100, Prices!$B$2:$B$100))</f>
        <v/>
      </c>
      <c r="D83" s="40" t="str">
        <f>IF(Holdings!B83="","",Holdings!$B83*Holdings!$C83)</f>
        <v/>
      </c>
      <c r="E83" s="39" t="str">
        <f>IF(A83="","",_xlfn.XLOOKUP(Holdings!$A83, Asset_Info!$A$2:$A$100,Asset_Info!$D$2:$D$100))</f>
        <v/>
      </c>
      <c r="F83" s="40" t="str">
        <f>IF(Holdings!A83="","",SUMIFS(Transactions[Total], Transactions[Ticker], Holdings!$A83))</f>
        <v/>
      </c>
      <c r="G83" s="40" t="str">
        <f>IF(A83="","",IFERROR(SUMIFS(Transactions[Total],Transactions[Ticker],A83,Transactions[Action],"Buy")/SUMIFS(Transactions[Shares],Transactions[Ticker],A83,Transactions[Action],"Buy"),0))</f>
        <v/>
      </c>
      <c r="H83" s="40" t="str">
        <f t="shared" si="3"/>
        <v/>
      </c>
      <c r="I83" s="40" t="str">
        <f>IFERROR(SUMIFS(Transactions[Total],Transactions[Ticker],A83,Transactions[Action],"Sell")*-1-SUMIFS(Transactions[Shares],Transactions[Ticker],A83,Transactions[Action],"Sell")*G83,"")</f>
        <v/>
      </c>
      <c r="J83" s="40" t="str">
        <f t="shared" si="4"/>
        <v/>
      </c>
      <c r="K83" s="40" t="str">
        <f t="shared" si="5"/>
        <v/>
      </c>
      <c r="L83" s="41" t="str">
        <f>IF(A83="","",IFERROR(K83/(H83+SUMIFS(Transactions[Shares],Transactions[Ticker],A83,Transactions[Action],"Sell")*G83),0))</f>
        <v/>
      </c>
    </row>
    <row r="84" spans="2:12" x14ac:dyDescent="0.2">
      <c r="B84" s="39" t="str">
        <f>IF(Holdings!A84="","",SUMIFS(Transactions[Shares],Transactions[Ticker],Holdings!$A84,Transactions[Action],"Buy")-SUMIFS(Transactions[Shares],Transactions[Ticker],Holdings!$A84,Transactions[Action],"Sell"))</f>
        <v/>
      </c>
      <c r="C84" s="40" t="str">
        <f>IF(Holdings!A84="","",_xlfn.XLOOKUP(Holdings!$A84,Prices!$A$2:$A$100, Prices!$B$2:$B$100))</f>
        <v/>
      </c>
      <c r="D84" s="40" t="str">
        <f>IF(Holdings!B84="","",Holdings!$B84*Holdings!$C84)</f>
        <v/>
      </c>
      <c r="E84" s="39" t="str">
        <f>IF(A84="","",_xlfn.XLOOKUP(Holdings!$A84, Asset_Info!$A$2:$A$100,Asset_Info!$D$2:$D$100))</f>
        <v/>
      </c>
      <c r="F84" s="40" t="str">
        <f>IF(Holdings!A84="","",SUMIFS(Transactions[Total], Transactions[Ticker], Holdings!$A84))</f>
        <v/>
      </c>
      <c r="G84" s="40" t="str">
        <f>IF(A84="","",IFERROR(SUMIFS(Transactions[Total],Transactions[Ticker],A84,Transactions[Action],"Buy")/SUMIFS(Transactions[Shares],Transactions[Ticker],A84,Transactions[Action],"Buy"),0))</f>
        <v/>
      </c>
      <c r="H84" s="40" t="str">
        <f t="shared" si="3"/>
        <v/>
      </c>
      <c r="I84" s="40" t="str">
        <f>IFERROR(SUMIFS(Transactions[Total],Transactions[Ticker],A84,Transactions[Action],"Sell")*-1-SUMIFS(Transactions[Shares],Transactions[Ticker],A84,Transactions[Action],"Sell")*G84,"")</f>
        <v/>
      </c>
      <c r="J84" s="40" t="str">
        <f t="shared" si="4"/>
        <v/>
      </c>
      <c r="K84" s="40" t="str">
        <f t="shared" si="5"/>
        <v/>
      </c>
      <c r="L84" s="41" t="str">
        <f>IF(A84="","",IFERROR(K84/(H84+SUMIFS(Transactions[Shares],Transactions[Ticker],A84,Transactions[Action],"Sell")*G84),0))</f>
        <v/>
      </c>
    </row>
    <row r="85" spans="2:12" x14ac:dyDescent="0.2">
      <c r="B85" s="39" t="str">
        <f>IF(Holdings!A85="","",SUMIFS(Transactions[Shares],Transactions[Ticker],Holdings!$A85,Transactions[Action],"Buy")-SUMIFS(Transactions[Shares],Transactions[Ticker],Holdings!$A85,Transactions[Action],"Sell"))</f>
        <v/>
      </c>
      <c r="C85" s="40" t="str">
        <f>IF(Holdings!A85="","",_xlfn.XLOOKUP(Holdings!$A85,Prices!$A$2:$A$100, Prices!$B$2:$B$100))</f>
        <v/>
      </c>
      <c r="D85" s="40" t="str">
        <f>IF(Holdings!B85="","",Holdings!$B85*Holdings!$C85)</f>
        <v/>
      </c>
      <c r="E85" s="39" t="str">
        <f>IF(A85="","",_xlfn.XLOOKUP(Holdings!$A85, Asset_Info!$A$2:$A$100,Asset_Info!$D$2:$D$100))</f>
        <v/>
      </c>
      <c r="F85" s="40" t="str">
        <f>IF(Holdings!A85="","",SUMIFS(Transactions[Total], Transactions[Ticker], Holdings!$A85))</f>
        <v/>
      </c>
      <c r="G85" s="40" t="str">
        <f>IF(A85="","",IFERROR(SUMIFS(Transactions[Total],Transactions[Ticker],A85,Transactions[Action],"Buy")/SUMIFS(Transactions[Shares],Transactions[Ticker],A85,Transactions[Action],"Buy"),0))</f>
        <v/>
      </c>
      <c r="H85" s="40" t="str">
        <f t="shared" si="3"/>
        <v/>
      </c>
      <c r="I85" s="40" t="str">
        <f>IFERROR(SUMIFS(Transactions[Total],Transactions[Ticker],A85,Transactions[Action],"Sell")*-1-SUMIFS(Transactions[Shares],Transactions[Ticker],A85,Transactions[Action],"Sell")*G85,"")</f>
        <v/>
      </c>
      <c r="J85" s="40" t="str">
        <f t="shared" si="4"/>
        <v/>
      </c>
      <c r="K85" s="40" t="str">
        <f t="shared" si="5"/>
        <v/>
      </c>
      <c r="L85" s="41" t="str">
        <f>IF(A85="","",IFERROR(K85/(H85+SUMIFS(Transactions[Shares],Transactions[Ticker],A85,Transactions[Action],"Sell")*G85),0))</f>
        <v/>
      </c>
    </row>
    <row r="86" spans="2:12" x14ac:dyDescent="0.2">
      <c r="B86" s="39" t="str">
        <f>IF(Holdings!A86="","",SUMIFS(Transactions[Shares],Transactions[Ticker],Holdings!$A86,Transactions[Action],"Buy")-SUMIFS(Transactions[Shares],Transactions[Ticker],Holdings!$A86,Transactions[Action],"Sell"))</f>
        <v/>
      </c>
      <c r="C86" s="40" t="str">
        <f>IF(Holdings!A86="","",_xlfn.XLOOKUP(Holdings!$A86,Prices!$A$2:$A$100, Prices!$B$2:$B$100))</f>
        <v/>
      </c>
      <c r="D86" s="40" t="str">
        <f>IF(Holdings!B86="","",Holdings!$B86*Holdings!$C86)</f>
        <v/>
      </c>
      <c r="E86" s="39" t="str">
        <f>IF(A86="","",_xlfn.XLOOKUP(Holdings!$A86, Asset_Info!$A$2:$A$100,Asset_Info!$D$2:$D$100))</f>
        <v/>
      </c>
      <c r="F86" s="40" t="str">
        <f>IF(Holdings!A86="","",SUMIFS(Transactions[Total], Transactions[Ticker], Holdings!$A86))</f>
        <v/>
      </c>
      <c r="G86" s="40" t="str">
        <f>IF(A86="","",IFERROR(SUMIFS(Transactions[Total],Transactions[Ticker],A86,Transactions[Action],"Buy")/SUMIFS(Transactions[Shares],Transactions[Ticker],A86,Transactions[Action],"Buy"),0))</f>
        <v/>
      </c>
      <c r="H86" s="40" t="str">
        <f t="shared" si="3"/>
        <v/>
      </c>
      <c r="I86" s="40" t="str">
        <f>IFERROR(SUMIFS(Transactions[Total],Transactions[Ticker],A86,Transactions[Action],"Sell")*-1-SUMIFS(Transactions[Shares],Transactions[Ticker],A86,Transactions[Action],"Sell")*G86,"")</f>
        <v/>
      </c>
      <c r="J86" s="40" t="str">
        <f t="shared" si="4"/>
        <v/>
      </c>
      <c r="K86" s="40" t="str">
        <f t="shared" si="5"/>
        <v/>
      </c>
      <c r="L86" s="41" t="str">
        <f>IF(A86="","",IFERROR(K86/(H86+SUMIFS(Transactions[Shares],Transactions[Ticker],A86,Transactions[Action],"Sell")*G86),0))</f>
        <v/>
      </c>
    </row>
    <row r="87" spans="2:12" x14ac:dyDescent="0.2">
      <c r="B87" s="39" t="str">
        <f>IF(Holdings!A87="","",SUMIFS(Transactions[Shares],Transactions[Ticker],Holdings!$A87,Transactions[Action],"Buy")-SUMIFS(Transactions[Shares],Transactions[Ticker],Holdings!$A87,Transactions[Action],"Sell"))</f>
        <v/>
      </c>
      <c r="C87" s="40" t="str">
        <f>IF(Holdings!A87="","",_xlfn.XLOOKUP(Holdings!$A87,Prices!$A$2:$A$100, Prices!$B$2:$B$100))</f>
        <v/>
      </c>
      <c r="D87" s="40" t="str">
        <f>IF(Holdings!B87="","",Holdings!$B87*Holdings!$C87)</f>
        <v/>
      </c>
      <c r="E87" s="39" t="str">
        <f>IF(A87="","",_xlfn.XLOOKUP(Holdings!$A87, Asset_Info!$A$2:$A$100,Asset_Info!$D$2:$D$100))</f>
        <v/>
      </c>
      <c r="F87" s="40" t="str">
        <f>IF(Holdings!A87="","",SUMIFS(Transactions[Total], Transactions[Ticker], Holdings!$A87))</f>
        <v/>
      </c>
      <c r="G87" s="40" t="str">
        <f>IF(A87="","",IFERROR(SUMIFS(Transactions[Total],Transactions[Ticker],A87,Transactions[Action],"Buy")/SUMIFS(Transactions[Shares],Transactions[Ticker],A87,Transactions[Action],"Buy"),0))</f>
        <v/>
      </c>
      <c r="H87" s="40" t="str">
        <f t="shared" si="3"/>
        <v/>
      </c>
      <c r="I87" s="40" t="str">
        <f>IFERROR(SUMIFS(Transactions[Total],Transactions[Ticker],A87,Transactions[Action],"Sell")*-1-SUMIFS(Transactions[Shares],Transactions[Ticker],A87,Transactions[Action],"Sell")*G87,"")</f>
        <v/>
      </c>
      <c r="J87" s="40" t="str">
        <f t="shared" si="4"/>
        <v/>
      </c>
      <c r="K87" s="40" t="str">
        <f t="shared" si="5"/>
        <v/>
      </c>
      <c r="L87" s="41" t="str">
        <f>IF(A87="","",IFERROR(K87/(H87+SUMIFS(Transactions[Shares],Transactions[Ticker],A87,Transactions[Action],"Sell")*G87),0))</f>
        <v/>
      </c>
    </row>
    <row r="88" spans="2:12" x14ac:dyDescent="0.2">
      <c r="B88" s="39" t="str">
        <f>IF(Holdings!A88="","",SUMIFS(Transactions[Shares],Transactions[Ticker],Holdings!$A88,Transactions[Action],"Buy")-SUMIFS(Transactions[Shares],Transactions[Ticker],Holdings!$A88,Transactions[Action],"Sell"))</f>
        <v/>
      </c>
      <c r="C88" s="40" t="str">
        <f>IF(Holdings!A88="","",_xlfn.XLOOKUP(Holdings!$A88,Prices!$A$2:$A$100, Prices!$B$2:$B$100))</f>
        <v/>
      </c>
      <c r="D88" s="40" t="str">
        <f>IF(Holdings!B88="","",Holdings!$B88*Holdings!$C88)</f>
        <v/>
      </c>
      <c r="E88" s="39" t="str">
        <f>IF(A88="","",_xlfn.XLOOKUP(Holdings!$A88, Asset_Info!$A$2:$A$100,Asset_Info!$D$2:$D$100))</f>
        <v/>
      </c>
      <c r="F88" s="40" t="str">
        <f>IF(Holdings!A88="","",SUMIFS(Transactions[Total], Transactions[Ticker], Holdings!$A88))</f>
        <v/>
      </c>
      <c r="G88" s="40" t="str">
        <f>IF(A88="","",IFERROR(SUMIFS(Transactions[Total],Transactions[Ticker],A88,Transactions[Action],"Buy")/SUMIFS(Transactions[Shares],Transactions[Ticker],A88,Transactions[Action],"Buy"),0))</f>
        <v/>
      </c>
      <c r="H88" s="40" t="str">
        <f t="shared" si="3"/>
        <v/>
      </c>
      <c r="I88" s="40" t="str">
        <f>IFERROR(SUMIFS(Transactions[Total],Transactions[Ticker],A88,Transactions[Action],"Sell")*-1-SUMIFS(Transactions[Shares],Transactions[Ticker],A88,Transactions[Action],"Sell")*G88,"")</f>
        <v/>
      </c>
      <c r="J88" s="40" t="str">
        <f t="shared" si="4"/>
        <v/>
      </c>
      <c r="K88" s="40" t="str">
        <f t="shared" si="5"/>
        <v/>
      </c>
      <c r="L88" s="41" t="str">
        <f>IF(A88="","",IFERROR(K88/(H88+SUMIFS(Transactions[Shares],Transactions[Ticker],A88,Transactions[Action],"Sell")*G88),0))</f>
        <v/>
      </c>
    </row>
    <row r="89" spans="2:12" x14ac:dyDescent="0.2">
      <c r="B89" s="39" t="str">
        <f>IF(Holdings!A89="","",SUMIFS(Transactions[Shares],Transactions[Ticker],Holdings!$A89,Transactions[Action],"Buy")-SUMIFS(Transactions[Shares],Transactions[Ticker],Holdings!$A89,Transactions[Action],"Sell"))</f>
        <v/>
      </c>
      <c r="C89" s="40" t="str">
        <f>IF(Holdings!A89="","",_xlfn.XLOOKUP(Holdings!$A89,Prices!$A$2:$A$100, Prices!$B$2:$B$100))</f>
        <v/>
      </c>
      <c r="D89" s="40" t="str">
        <f>IF(Holdings!B89="","",Holdings!$B89*Holdings!$C89)</f>
        <v/>
      </c>
      <c r="E89" s="39" t="str">
        <f>IF(A89="","",_xlfn.XLOOKUP(Holdings!$A89, Asset_Info!$A$2:$A$100,Asset_Info!$D$2:$D$100))</f>
        <v/>
      </c>
      <c r="F89" s="40" t="str">
        <f>IF(Holdings!A89="","",SUMIFS(Transactions[Total], Transactions[Ticker], Holdings!$A89))</f>
        <v/>
      </c>
      <c r="G89" s="40" t="str">
        <f>IF(A89="","",IFERROR(SUMIFS(Transactions[Total],Transactions[Ticker],A89,Transactions[Action],"Buy")/SUMIFS(Transactions[Shares],Transactions[Ticker],A89,Transactions[Action],"Buy"),0))</f>
        <v/>
      </c>
      <c r="H89" s="40" t="str">
        <f t="shared" si="3"/>
        <v/>
      </c>
      <c r="I89" s="40" t="str">
        <f>IFERROR(SUMIFS(Transactions[Total],Transactions[Ticker],A89,Transactions[Action],"Sell")*-1-SUMIFS(Transactions[Shares],Transactions[Ticker],A89,Transactions[Action],"Sell")*G89,"")</f>
        <v/>
      </c>
      <c r="J89" s="40" t="str">
        <f t="shared" si="4"/>
        <v/>
      </c>
      <c r="K89" s="40" t="str">
        <f t="shared" si="5"/>
        <v/>
      </c>
      <c r="L89" s="41" t="str">
        <f>IF(A89="","",IFERROR(K89/(H89+SUMIFS(Transactions[Shares],Transactions[Ticker],A89,Transactions[Action],"Sell")*G89),0))</f>
        <v/>
      </c>
    </row>
    <row r="90" spans="2:12" x14ac:dyDescent="0.2">
      <c r="B90" s="39" t="str">
        <f>IF(Holdings!A90="","",SUMIFS(Transactions[Shares],Transactions[Ticker],Holdings!$A90,Transactions[Action],"Buy")-SUMIFS(Transactions[Shares],Transactions[Ticker],Holdings!$A90,Transactions[Action],"Sell"))</f>
        <v/>
      </c>
      <c r="C90" s="40" t="str">
        <f>IF(Holdings!A90="","",_xlfn.XLOOKUP(Holdings!$A90,Prices!$A$2:$A$100, Prices!$B$2:$B$100))</f>
        <v/>
      </c>
      <c r="D90" s="40" t="str">
        <f>IF(Holdings!B90="","",Holdings!$B90*Holdings!$C90)</f>
        <v/>
      </c>
      <c r="E90" s="39" t="str">
        <f>IF(A90="","",_xlfn.XLOOKUP(Holdings!$A90, Asset_Info!$A$2:$A$100,Asset_Info!$D$2:$D$100))</f>
        <v/>
      </c>
      <c r="F90" s="40" t="str">
        <f>IF(Holdings!A90="","",SUMIFS(Transactions[Total], Transactions[Ticker], Holdings!$A90))</f>
        <v/>
      </c>
      <c r="G90" s="40" t="str">
        <f>IF(A90="","",IFERROR(SUMIFS(Transactions[Total],Transactions[Ticker],A90,Transactions[Action],"Buy")/SUMIFS(Transactions[Shares],Transactions[Ticker],A90,Transactions[Action],"Buy"),0))</f>
        <v/>
      </c>
      <c r="H90" s="40" t="str">
        <f t="shared" si="3"/>
        <v/>
      </c>
      <c r="I90" s="40" t="str">
        <f>IFERROR(SUMIFS(Transactions[Total],Transactions[Ticker],A90,Transactions[Action],"Sell")*-1-SUMIFS(Transactions[Shares],Transactions[Ticker],A90,Transactions[Action],"Sell")*G90,"")</f>
        <v/>
      </c>
      <c r="J90" s="40" t="str">
        <f t="shared" si="4"/>
        <v/>
      </c>
      <c r="K90" s="40" t="str">
        <f t="shared" si="5"/>
        <v/>
      </c>
      <c r="L90" s="41" t="str">
        <f>IF(A90="","",IFERROR(K90/(H90+SUMIFS(Transactions[Shares],Transactions[Ticker],A90,Transactions[Action],"Sell")*G90),0))</f>
        <v/>
      </c>
    </row>
    <row r="91" spans="2:12" x14ac:dyDescent="0.2">
      <c r="B91" s="39" t="str">
        <f>IF(Holdings!A91="","",SUMIFS(Transactions[Shares],Transactions[Ticker],Holdings!$A91,Transactions[Action],"Buy")-SUMIFS(Transactions[Shares],Transactions[Ticker],Holdings!$A91,Transactions[Action],"Sell"))</f>
        <v/>
      </c>
      <c r="C91" s="40" t="str">
        <f>IF(Holdings!A91="","",_xlfn.XLOOKUP(Holdings!$A91,Prices!$A$2:$A$100, Prices!$B$2:$B$100))</f>
        <v/>
      </c>
      <c r="D91" s="40" t="str">
        <f>IF(Holdings!B91="","",Holdings!$B91*Holdings!$C91)</f>
        <v/>
      </c>
      <c r="E91" s="39" t="str">
        <f>IF(A91="","",_xlfn.XLOOKUP(Holdings!$A91, Asset_Info!$A$2:$A$100,Asset_Info!$D$2:$D$100))</f>
        <v/>
      </c>
      <c r="F91" s="40" t="str">
        <f>IF(Holdings!A91="","",SUMIFS(Transactions[Total], Transactions[Ticker], Holdings!$A91))</f>
        <v/>
      </c>
      <c r="G91" s="40" t="str">
        <f>IF(A91="","",IFERROR(SUMIFS(Transactions[Total],Transactions[Ticker],A91,Transactions[Action],"Buy")/SUMIFS(Transactions[Shares],Transactions[Ticker],A91,Transactions[Action],"Buy"),0))</f>
        <v/>
      </c>
      <c r="H91" s="40" t="str">
        <f t="shared" si="3"/>
        <v/>
      </c>
      <c r="I91" s="40" t="str">
        <f>IFERROR(SUMIFS(Transactions[Total],Transactions[Ticker],A91,Transactions[Action],"Sell")*-1-SUMIFS(Transactions[Shares],Transactions[Ticker],A91,Transactions[Action],"Sell")*G91,"")</f>
        <v/>
      </c>
      <c r="J91" s="40" t="str">
        <f t="shared" si="4"/>
        <v/>
      </c>
      <c r="K91" s="40" t="str">
        <f t="shared" si="5"/>
        <v/>
      </c>
      <c r="L91" s="41" t="str">
        <f>IF(A91="","",IFERROR(K91/(H91+SUMIFS(Transactions[Shares],Transactions[Ticker],A91,Transactions[Action],"Sell")*G91),0))</f>
        <v/>
      </c>
    </row>
    <row r="92" spans="2:12" x14ac:dyDescent="0.2">
      <c r="B92" s="39" t="str">
        <f>IF(Holdings!A92="","",SUMIFS(Transactions[Shares],Transactions[Ticker],Holdings!$A92,Transactions[Action],"Buy")-SUMIFS(Transactions[Shares],Transactions[Ticker],Holdings!$A92,Transactions[Action],"Sell"))</f>
        <v/>
      </c>
      <c r="C92" s="40" t="str">
        <f>IF(Holdings!A92="","",_xlfn.XLOOKUP(Holdings!$A92,Prices!$A$2:$A$100, Prices!$B$2:$B$100))</f>
        <v/>
      </c>
      <c r="D92" s="40" t="str">
        <f>IF(Holdings!B92="","",Holdings!$B92*Holdings!$C92)</f>
        <v/>
      </c>
      <c r="E92" s="39" t="str">
        <f>IF(A92="","",_xlfn.XLOOKUP(Holdings!$A92, Asset_Info!$A$2:$A$100,Asset_Info!$D$2:$D$100))</f>
        <v/>
      </c>
      <c r="F92" s="40" t="str">
        <f>IF(Holdings!A92="","",SUMIFS(Transactions[Total], Transactions[Ticker], Holdings!$A92))</f>
        <v/>
      </c>
      <c r="G92" s="40" t="str">
        <f>IF(A92="","",IFERROR(SUMIFS(Transactions[Total],Transactions[Ticker],A92,Transactions[Action],"Buy")/SUMIFS(Transactions[Shares],Transactions[Ticker],A92,Transactions[Action],"Buy"),0))</f>
        <v/>
      </c>
      <c r="H92" s="40" t="str">
        <f t="shared" si="3"/>
        <v/>
      </c>
      <c r="I92" s="40" t="str">
        <f>IFERROR(SUMIFS(Transactions[Total],Transactions[Ticker],A92,Transactions[Action],"Sell")*-1-SUMIFS(Transactions[Shares],Transactions[Ticker],A92,Transactions[Action],"Sell")*G92,"")</f>
        <v/>
      </c>
      <c r="J92" s="40" t="str">
        <f t="shared" si="4"/>
        <v/>
      </c>
      <c r="K92" s="40" t="str">
        <f t="shared" si="5"/>
        <v/>
      </c>
      <c r="L92" s="41" t="str">
        <f>IF(A92="","",IFERROR(K92/(H92+SUMIFS(Transactions[Shares],Transactions[Ticker],A92,Transactions[Action],"Sell")*G92),0))</f>
        <v/>
      </c>
    </row>
    <row r="93" spans="2:12" x14ac:dyDescent="0.2">
      <c r="B93" s="39" t="str">
        <f>IF(Holdings!A93="","",SUMIFS(Transactions[Shares],Transactions[Ticker],Holdings!$A93,Transactions[Action],"Buy")-SUMIFS(Transactions[Shares],Transactions[Ticker],Holdings!$A93,Transactions[Action],"Sell"))</f>
        <v/>
      </c>
      <c r="C93" s="40" t="str">
        <f>IF(Holdings!A93="","",_xlfn.XLOOKUP(Holdings!$A93,Prices!$A$2:$A$100, Prices!$B$2:$B$100))</f>
        <v/>
      </c>
      <c r="D93" s="40" t="str">
        <f>IF(Holdings!B93="","",Holdings!$B93*Holdings!$C93)</f>
        <v/>
      </c>
      <c r="E93" s="39" t="str">
        <f>IF(A93="","",_xlfn.XLOOKUP(Holdings!$A93, Asset_Info!$A$2:$A$100,Asset_Info!$D$2:$D$100))</f>
        <v/>
      </c>
      <c r="F93" s="40" t="str">
        <f>IF(Holdings!A93="","",SUMIFS(Transactions[Total], Transactions[Ticker], Holdings!$A93))</f>
        <v/>
      </c>
      <c r="G93" s="40" t="str">
        <f>IF(A93="","",IFERROR(SUMIFS(Transactions[Total],Transactions[Ticker],A93,Transactions[Action],"Buy")/SUMIFS(Transactions[Shares],Transactions[Ticker],A93,Transactions[Action],"Buy"),0))</f>
        <v/>
      </c>
      <c r="H93" s="40" t="str">
        <f t="shared" si="3"/>
        <v/>
      </c>
      <c r="I93" s="40" t="str">
        <f>IFERROR(SUMIFS(Transactions[Total],Transactions[Ticker],A93,Transactions[Action],"Sell")*-1-SUMIFS(Transactions[Shares],Transactions[Ticker],A93,Transactions[Action],"Sell")*G93,"")</f>
        <v/>
      </c>
      <c r="J93" s="40" t="str">
        <f t="shared" si="4"/>
        <v/>
      </c>
      <c r="K93" s="40" t="str">
        <f t="shared" si="5"/>
        <v/>
      </c>
      <c r="L93" s="41" t="str">
        <f>IF(A93="","",IFERROR(K93/(H93+SUMIFS(Transactions[Shares],Transactions[Ticker],A93,Transactions[Action],"Sell")*G93),0))</f>
        <v/>
      </c>
    </row>
    <row r="94" spans="2:12" x14ac:dyDescent="0.2">
      <c r="B94" s="39" t="str">
        <f>IF(Holdings!A94="","",SUMIFS(Transactions[Shares],Transactions[Ticker],Holdings!$A94,Transactions[Action],"Buy")-SUMIFS(Transactions[Shares],Transactions[Ticker],Holdings!$A94,Transactions[Action],"Sell"))</f>
        <v/>
      </c>
      <c r="C94" s="40" t="str">
        <f>IF(Holdings!A94="","",_xlfn.XLOOKUP(Holdings!$A94,Prices!$A$2:$A$100, Prices!$B$2:$B$100))</f>
        <v/>
      </c>
      <c r="D94" s="40" t="str">
        <f>IF(Holdings!B94="","",Holdings!$B94*Holdings!$C94)</f>
        <v/>
      </c>
      <c r="E94" s="39" t="str">
        <f>IF(A94="","",_xlfn.XLOOKUP(Holdings!$A94, Asset_Info!$A$2:$A$100,Asset_Info!$D$2:$D$100))</f>
        <v/>
      </c>
      <c r="F94" s="40" t="str">
        <f>IF(Holdings!A94="","",SUMIFS(Transactions[Total], Transactions[Ticker], Holdings!$A94))</f>
        <v/>
      </c>
      <c r="G94" s="40" t="str">
        <f>IF(A94="","",IFERROR(SUMIFS(Transactions[Total],Transactions[Ticker],A94,Transactions[Action],"Buy")/SUMIFS(Transactions[Shares],Transactions[Ticker],A94,Transactions[Action],"Buy"),0))</f>
        <v/>
      </c>
      <c r="H94" s="40" t="str">
        <f t="shared" si="3"/>
        <v/>
      </c>
      <c r="I94" s="40" t="str">
        <f>IFERROR(SUMIFS(Transactions[Total],Transactions[Ticker],A94,Transactions[Action],"Sell")*-1-SUMIFS(Transactions[Shares],Transactions[Ticker],A94,Transactions[Action],"Sell")*G94,"")</f>
        <v/>
      </c>
      <c r="J94" s="40" t="str">
        <f t="shared" si="4"/>
        <v/>
      </c>
      <c r="K94" s="40" t="str">
        <f t="shared" si="5"/>
        <v/>
      </c>
      <c r="L94" s="41" t="str">
        <f>IF(A94="","",IFERROR(K94/(H94+SUMIFS(Transactions[Shares],Transactions[Ticker],A94,Transactions[Action],"Sell")*G94),0))</f>
        <v/>
      </c>
    </row>
    <row r="95" spans="2:12" x14ac:dyDescent="0.2">
      <c r="B95" s="39" t="str">
        <f>IF(Holdings!A95="","",SUMIFS(Transactions[Shares],Transactions[Ticker],Holdings!$A95,Transactions[Action],"Buy")-SUMIFS(Transactions[Shares],Transactions[Ticker],Holdings!$A95,Transactions[Action],"Sell"))</f>
        <v/>
      </c>
      <c r="C95" s="40" t="str">
        <f>IF(Holdings!A95="","",_xlfn.XLOOKUP(Holdings!$A95,Prices!$A$2:$A$100, Prices!$B$2:$B$100))</f>
        <v/>
      </c>
      <c r="D95" s="40" t="str">
        <f>IF(Holdings!B95="","",Holdings!$B95*Holdings!$C95)</f>
        <v/>
      </c>
      <c r="E95" s="39" t="str">
        <f>IF(A95="","",_xlfn.XLOOKUP(Holdings!$A95, Asset_Info!$A$2:$A$100,Asset_Info!$D$2:$D$100))</f>
        <v/>
      </c>
      <c r="F95" s="40" t="str">
        <f>IF(Holdings!A95="","",SUMIFS(Transactions[Total], Transactions[Ticker], Holdings!$A95))</f>
        <v/>
      </c>
      <c r="G95" s="40" t="str">
        <f>IF(A95="","",IFERROR(SUMIFS(Transactions[Total],Transactions[Ticker],A95,Transactions[Action],"Buy")/SUMIFS(Transactions[Shares],Transactions[Ticker],A95,Transactions[Action],"Buy"),0))</f>
        <v/>
      </c>
      <c r="H95" s="40" t="str">
        <f t="shared" si="3"/>
        <v/>
      </c>
      <c r="I95" s="40" t="str">
        <f>IFERROR(SUMIFS(Transactions[Total],Transactions[Ticker],A95,Transactions[Action],"Sell")*-1-SUMIFS(Transactions[Shares],Transactions[Ticker],A95,Transactions[Action],"Sell")*G95,"")</f>
        <v/>
      </c>
      <c r="J95" s="40" t="str">
        <f t="shared" si="4"/>
        <v/>
      </c>
      <c r="K95" s="40" t="str">
        <f t="shared" si="5"/>
        <v/>
      </c>
      <c r="L95" s="41" t="str">
        <f>IF(A95="","",IFERROR(K95/(H95+SUMIFS(Transactions[Shares],Transactions[Ticker],A95,Transactions[Action],"Sell")*G95),0))</f>
        <v/>
      </c>
    </row>
    <row r="96" spans="2:12" x14ac:dyDescent="0.2">
      <c r="B96" s="39" t="str">
        <f>IF(Holdings!A96="","",SUMIFS(Transactions[Shares],Transactions[Ticker],Holdings!$A96,Transactions[Action],"Buy")-SUMIFS(Transactions[Shares],Transactions[Ticker],Holdings!$A96,Transactions[Action],"Sell"))</f>
        <v/>
      </c>
      <c r="C96" s="40" t="str">
        <f>IF(Holdings!A96="","",_xlfn.XLOOKUP(Holdings!$A96,Prices!$A$2:$A$100, Prices!$B$2:$B$100))</f>
        <v/>
      </c>
      <c r="D96" s="40" t="str">
        <f>IF(Holdings!B96="","",Holdings!$B96*Holdings!$C96)</f>
        <v/>
      </c>
      <c r="E96" s="39" t="str">
        <f>IF(A96="","",_xlfn.XLOOKUP(Holdings!$A96, Asset_Info!$A$2:$A$100,Asset_Info!$D$2:$D$100))</f>
        <v/>
      </c>
      <c r="F96" s="40" t="str">
        <f>IF(Holdings!A96="","",SUMIFS(Transactions[Total], Transactions[Ticker], Holdings!$A96))</f>
        <v/>
      </c>
      <c r="G96" s="40" t="str">
        <f>IF(A96="","",IFERROR(SUMIFS(Transactions[Total],Transactions[Ticker],A96,Transactions[Action],"Buy")/SUMIFS(Transactions[Shares],Transactions[Ticker],A96,Transactions[Action],"Buy"),0))</f>
        <v/>
      </c>
      <c r="H96" s="40" t="str">
        <f t="shared" si="3"/>
        <v/>
      </c>
      <c r="I96" s="40" t="str">
        <f>IFERROR(SUMIFS(Transactions[Total],Transactions[Ticker],A96,Transactions[Action],"Sell")*-1-SUMIFS(Transactions[Shares],Transactions[Ticker],A96,Transactions[Action],"Sell")*G96,"")</f>
        <v/>
      </c>
      <c r="J96" s="40" t="str">
        <f t="shared" si="4"/>
        <v/>
      </c>
      <c r="K96" s="40" t="str">
        <f t="shared" si="5"/>
        <v/>
      </c>
      <c r="L96" s="41" t="str">
        <f>IF(A96="","",IFERROR(K96/(H96+SUMIFS(Transactions[Shares],Transactions[Ticker],A96,Transactions[Action],"Sell")*G96),0))</f>
        <v/>
      </c>
    </row>
    <row r="97" spans="2:12" x14ac:dyDescent="0.2">
      <c r="B97" s="39" t="str">
        <f>IF(Holdings!A97="","",SUMIFS(Transactions[Shares],Transactions[Ticker],Holdings!$A97,Transactions[Action],"Buy")-SUMIFS(Transactions[Shares],Transactions[Ticker],Holdings!$A97,Transactions[Action],"Sell"))</f>
        <v/>
      </c>
      <c r="C97" s="40" t="str">
        <f>IF(Holdings!A97="","",_xlfn.XLOOKUP(Holdings!$A97,Prices!$A$2:$A$100, Prices!$B$2:$B$100))</f>
        <v/>
      </c>
      <c r="D97" s="40" t="str">
        <f>IF(Holdings!B97="","",Holdings!$B97*Holdings!$C97)</f>
        <v/>
      </c>
      <c r="E97" s="39" t="str">
        <f>IF(A97="","",_xlfn.XLOOKUP(Holdings!$A97, Asset_Info!$A$2:$A$100,Asset_Info!$D$2:$D$100))</f>
        <v/>
      </c>
      <c r="F97" s="40" t="str">
        <f>IF(Holdings!A97="","",SUMIFS(Transactions[Total], Transactions[Ticker], Holdings!$A97))</f>
        <v/>
      </c>
      <c r="G97" s="40" t="str">
        <f>IF(A97="","",IFERROR(SUMIFS(Transactions[Total],Transactions[Ticker],A97,Transactions[Action],"Buy")/SUMIFS(Transactions[Shares],Transactions[Ticker],A97,Transactions[Action],"Buy"),0))</f>
        <v/>
      </c>
      <c r="H97" s="40" t="str">
        <f t="shared" si="3"/>
        <v/>
      </c>
      <c r="I97" s="40" t="str">
        <f>IFERROR(SUMIFS(Transactions[Total],Transactions[Ticker],A97,Transactions[Action],"Sell")*-1-SUMIFS(Transactions[Shares],Transactions[Ticker],A97,Transactions[Action],"Sell")*G97,"")</f>
        <v/>
      </c>
      <c r="J97" s="40" t="str">
        <f t="shared" si="4"/>
        <v/>
      </c>
      <c r="K97" s="40" t="str">
        <f t="shared" si="5"/>
        <v/>
      </c>
      <c r="L97" s="41" t="str">
        <f>IF(A97="","",IFERROR(K97/(H97+SUMIFS(Transactions[Shares],Transactions[Ticker],A97,Transactions[Action],"Sell")*G97),0))</f>
        <v/>
      </c>
    </row>
    <row r="98" spans="2:12" x14ac:dyDescent="0.2">
      <c r="B98" s="39" t="str">
        <f>IF(Holdings!A98="","",SUMIFS(Transactions[Shares],Transactions[Ticker],Holdings!$A98,Transactions[Action],"Buy")-SUMIFS(Transactions[Shares],Transactions[Ticker],Holdings!$A98,Transactions[Action],"Sell"))</f>
        <v/>
      </c>
      <c r="C98" s="40" t="str">
        <f>IF(Holdings!A98="","",_xlfn.XLOOKUP(Holdings!$A98,Prices!$A$2:$A$100, Prices!$B$2:$B$100))</f>
        <v/>
      </c>
      <c r="D98" s="40" t="str">
        <f>IF(Holdings!B98="","",Holdings!$B98*Holdings!$C98)</f>
        <v/>
      </c>
      <c r="E98" s="39" t="str">
        <f>IF(A98="","",_xlfn.XLOOKUP(Holdings!$A98, Asset_Info!$A$2:$A$100,Asset_Info!$D$2:$D$100))</f>
        <v/>
      </c>
      <c r="F98" s="40" t="str">
        <f>IF(Holdings!A98="","",SUMIFS(Transactions[Total], Transactions[Ticker], Holdings!$A98))</f>
        <v/>
      </c>
      <c r="G98" s="40" t="str">
        <f>IF(A98="","",IFERROR(SUMIFS(Transactions[Total],Transactions[Ticker],A98,Transactions[Action],"Buy")/SUMIFS(Transactions[Shares],Transactions[Ticker],A98,Transactions[Action],"Buy"),0))</f>
        <v/>
      </c>
      <c r="H98" s="40" t="str">
        <f t="shared" si="3"/>
        <v/>
      </c>
      <c r="I98" s="40" t="str">
        <f>IFERROR(SUMIFS(Transactions[Total],Transactions[Ticker],A98,Transactions[Action],"Sell")*-1-SUMIFS(Transactions[Shares],Transactions[Ticker],A98,Transactions[Action],"Sell")*G98,"")</f>
        <v/>
      </c>
      <c r="J98" s="40" t="str">
        <f t="shared" si="4"/>
        <v/>
      </c>
      <c r="K98" s="40" t="str">
        <f t="shared" si="5"/>
        <v/>
      </c>
      <c r="L98" s="41" t="str">
        <f>IF(A98="","",IFERROR(K98/(H98+SUMIFS(Transactions[Shares],Transactions[Ticker],A98,Transactions[Action],"Sell")*G98),0))</f>
        <v/>
      </c>
    </row>
    <row r="99" spans="2:12" x14ac:dyDescent="0.2">
      <c r="B99" s="39" t="str">
        <f>IF(Holdings!A99="","",SUMIFS(Transactions[Shares],Transactions[Ticker],Holdings!$A99,Transactions[Action],"Buy")-SUMIFS(Transactions[Shares],Transactions[Ticker],Holdings!$A99,Transactions[Action],"Sell"))</f>
        <v/>
      </c>
      <c r="C99" s="40" t="str">
        <f>IF(Holdings!A99="","",_xlfn.XLOOKUP(Holdings!$A99,Prices!$A$2:$A$100, Prices!$B$2:$B$100))</f>
        <v/>
      </c>
      <c r="D99" s="40" t="str">
        <f>IF(Holdings!B99="","",Holdings!$B99*Holdings!$C99)</f>
        <v/>
      </c>
      <c r="E99" s="39" t="str">
        <f>IF(A99="","",_xlfn.XLOOKUP(Holdings!$A99, Asset_Info!$A$2:$A$100,Asset_Info!$D$2:$D$100))</f>
        <v/>
      </c>
      <c r="F99" s="40" t="str">
        <f>IF(Holdings!A99="","",SUMIFS(Transactions[Total], Transactions[Ticker], Holdings!$A99))</f>
        <v/>
      </c>
      <c r="G99" s="40" t="str">
        <f>IF(A99="","",IFERROR(SUMIFS(Transactions[Total],Transactions[Ticker],A99,Transactions[Action],"Buy")/SUMIFS(Transactions[Shares],Transactions[Ticker],A99,Transactions[Action],"Buy"),0))</f>
        <v/>
      </c>
      <c r="H99" s="40" t="str">
        <f t="shared" si="3"/>
        <v/>
      </c>
      <c r="I99" s="40" t="str">
        <f>IFERROR(SUMIFS(Transactions[Total],Transactions[Ticker],A99,Transactions[Action],"Sell")*-1-SUMIFS(Transactions[Shares],Transactions[Ticker],A99,Transactions[Action],"Sell")*G99,"")</f>
        <v/>
      </c>
      <c r="J99" s="40" t="str">
        <f t="shared" si="4"/>
        <v/>
      </c>
      <c r="K99" s="40" t="str">
        <f t="shared" si="5"/>
        <v/>
      </c>
      <c r="L99" s="41" t="str">
        <f>IF(A99="","",IFERROR(K99/(H99+SUMIFS(Transactions[Shares],Transactions[Ticker],A99,Transactions[Action],"Sell")*G99),0))</f>
        <v/>
      </c>
    </row>
    <row r="100" spans="2:12" x14ac:dyDescent="0.2">
      <c r="B100" s="39" t="str">
        <f>IF(Holdings!A100="","",SUMIFS(Transactions[Shares],Transactions[Ticker],Holdings!$A100,Transactions[Action],"Buy")-SUMIFS(Transactions[Shares],Transactions[Ticker],Holdings!$A100,Transactions[Action],"Sell"))</f>
        <v/>
      </c>
      <c r="C100" s="40" t="str">
        <f>IF(Holdings!A100="","",_xlfn.XLOOKUP(Holdings!$A100,Prices!$A$2:$A$100, Prices!$B$2:$B$100))</f>
        <v/>
      </c>
      <c r="D100" s="40" t="str">
        <f>IF(Holdings!B100="","",Holdings!$B100*Holdings!$C100)</f>
        <v/>
      </c>
      <c r="E100" s="39" t="str">
        <f>IF(A100="","",_xlfn.XLOOKUP(Holdings!$A100, Asset_Info!$A$2:$A$100,Asset_Info!$D$2:$D$100))</f>
        <v/>
      </c>
      <c r="F100" s="40" t="str">
        <f>IF(Holdings!A100="","",SUMIFS(Transactions[Total], Transactions[Ticker], Holdings!$A100))</f>
        <v/>
      </c>
      <c r="G100" s="40" t="str">
        <f>IF(A100="","",IFERROR(SUMIFS(Transactions[Total],Transactions[Ticker],A100,Transactions[Action],"Buy")/SUMIFS(Transactions[Shares],Transactions[Ticker],A100,Transactions[Action],"Buy"),0))</f>
        <v/>
      </c>
      <c r="H100" s="40" t="str">
        <f t="shared" si="3"/>
        <v/>
      </c>
      <c r="I100" s="40" t="str">
        <f>IFERROR(SUMIFS(Transactions[Total],Transactions[Ticker],A100,Transactions[Action],"Sell")*-1-SUMIFS(Transactions[Shares],Transactions[Ticker],A100,Transactions[Action],"Sell")*G100,"")</f>
        <v/>
      </c>
      <c r="J100" s="40" t="str">
        <f t="shared" si="4"/>
        <v/>
      </c>
      <c r="K100" s="40" t="str">
        <f t="shared" si="5"/>
        <v/>
      </c>
      <c r="L100" s="41" t="str">
        <f>IF(A100="","",IFERROR(K100/(H100+SUMIFS(Transactions[Shares],Transactions[Ticker],A100,Transactions[Action],"Sell")*G100),0))</f>
        <v/>
      </c>
    </row>
  </sheetData>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A48080-2C9F-2A4C-BF54-6A1C826F8D4E}">
  <dimension ref="A1:E100"/>
  <sheetViews>
    <sheetView workbookViewId="0">
      <selection activeCell="H22" sqref="H22"/>
    </sheetView>
  </sheetViews>
  <sheetFormatPr baseColWidth="10" defaultRowHeight="16" x14ac:dyDescent="0.2"/>
  <cols>
    <col min="1" max="1" width="26.1640625" customWidth="1"/>
    <col min="2" max="2" width="13.33203125" customWidth="1"/>
  </cols>
  <sheetData>
    <row r="1" spans="1:5" x14ac:dyDescent="0.2">
      <c r="A1" s="45" t="s">
        <v>1</v>
      </c>
      <c r="B1" s="45" t="s">
        <v>38</v>
      </c>
      <c r="C1" s="45" t="s">
        <v>39</v>
      </c>
      <c r="D1" s="45" t="s">
        <v>40</v>
      </c>
      <c r="E1" s="45" t="s">
        <v>47</v>
      </c>
    </row>
    <row r="2" spans="1:5" x14ac:dyDescent="0.2">
      <c r="A2" t="str" cm="1">
        <f t="array" ref="A2:A9">_xlfn.UNIQUE(Transactions[Ticker])</f>
        <v>AAPL</v>
      </c>
      <c r="B2" t="str">
        <f>IF(A2="","",IF(COUNTIF(Asset_Info!$A$2:$A$100,A2)&gt;0,"OK","Missing"))</f>
        <v>OK</v>
      </c>
      <c r="C2" t="str">
        <f>IF(A2="","",IF(COUNTIF(Prices!$A$2:$A$100,A2)&gt;0,"OK","Missing"))</f>
        <v>OK</v>
      </c>
      <c r="D2" t="str">
        <f>IF(A2="","",IF(SUMIFS(Transactions[Shares],Transactions[Ticker],A2,Transactions[Action],"Buy")-SUMIFS(Transactions[Shares],Transactions[Ticker],A2,Transactions[Action],"Sell")&gt;=0,"OK","Negative"))</f>
        <v>OK</v>
      </c>
      <c r="E2" t="str">
        <f ca="1">IF(A2="","",IF(_xlfn.XLOOKUP(A2,Prices!$A:$A,Prices!$B:$B,"")&gt;0,"OK","Missing Price"))</f>
        <v>OK</v>
      </c>
    </row>
    <row r="3" spans="1:5" x14ac:dyDescent="0.2">
      <c r="A3" t="str">
        <v>MSFT</v>
      </c>
      <c r="B3" t="str">
        <f>IF(A3="","",IF(COUNTIF(Asset_Info!$A$2:$A$100,A3)&gt;0,"OK","Missing"))</f>
        <v>OK</v>
      </c>
      <c r="C3" t="str">
        <f>IF(A3="","",IF(COUNTIF(Prices!$A$2:$A$100,A3)&gt;0,"OK","Missing"))</f>
        <v>OK</v>
      </c>
      <c r="D3" t="str">
        <f>IF(A3="","",IF(SUMIFS(Transactions[Shares],Transactions[Ticker],A3,Transactions[Action],"Buy")-SUMIFS(Transactions[Shares],Transactions[Ticker],A3,Transactions[Action],"Sell")&gt;=0,"OK","Negative"))</f>
        <v>OK</v>
      </c>
      <c r="E3" t="str">
        <f ca="1">IF(A3="","",IF(_xlfn.XLOOKUP(A3,Prices!$A:$A,Prices!$B:$B,"")&gt;0,"OK","Missing Price"))</f>
        <v>OK</v>
      </c>
    </row>
    <row r="4" spans="1:5" x14ac:dyDescent="0.2">
      <c r="A4" t="str">
        <v>SPY</v>
      </c>
      <c r="B4" t="str">
        <f>IF(A4="","",IF(COUNTIF(Asset_Info!$A$2:$A$100,A4)&gt;0,"OK","Missing"))</f>
        <v>OK</v>
      </c>
      <c r="C4" t="str">
        <f>IF(A4="","",IF(COUNTIF(Prices!$A$2:$A$100,A4)&gt;0,"OK","Missing"))</f>
        <v>OK</v>
      </c>
      <c r="D4" t="str">
        <f>IF(A4="","",IF(SUMIFS(Transactions[Shares],Transactions[Ticker],A4,Transactions[Action],"Buy")-SUMIFS(Transactions[Shares],Transactions[Ticker],A4,Transactions[Action],"Sell")&gt;=0,"OK","Negative"))</f>
        <v>OK</v>
      </c>
      <c r="E4" t="str">
        <f ca="1">IF(A4="","",IF(_xlfn.XLOOKUP(A4,Prices!$A:$A,Prices!$B:$B,"")&gt;0,"OK","Missing Price"))</f>
        <v>OK</v>
      </c>
    </row>
    <row r="5" spans="1:5" x14ac:dyDescent="0.2">
      <c r="A5" t="str">
        <v>NVDA</v>
      </c>
      <c r="B5" t="str">
        <f>IF(A5="","",IF(COUNTIF(Asset_Info!$A$2:$A$100,A5)&gt;0,"OK","Missing"))</f>
        <v>OK</v>
      </c>
      <c r="C5" t="str">
        <f>IF(A5="","",IF(COUNTIF(Prices!$A$2:$A$100,A5)&gt;0,"OK","Missing"))</f>
        <v>OK</v>
      </c>
      <c r="D5" t="str">
        <f>IF(A5="","",IF(SUMIFS(Transactions[Shares],Transactions[Ticker],A5,Transactions[Action],"Buy")-SUMIFS(Transactions[Shares],Transactions[Ticker],A5,Transactions[Action],"Sell")&gt;=0,"OK","Negative"))</f>
        <v>OK</v>
      </c>
      <c r="E5" t="str">
        <f ca="1">IF(A5="","",IF(_xlfn.XLOOKUP(A5,Prices!$A:$A,Prices!$B:$B,"")&gt;0,"OK","Missing Price"))</f>
        <v>OK</v>
      </c>
    </row>
    <row r="6" spans="1:5" x14ac:dyDescent="0.2">
      <c r="A6" t="str">
        <v>GLD</v>
      </c>
      <c r="B6" t="str">
        <f>IF(A6="","",IF(COUNTIF(Asset_Info!$A$2:$A$100,A6)&gt;0,"OK","Missing"))</f>
        <v>OK</v>
      </c>
      <c r="C6" t="str">
        <f>IF(A6="","",IF(COUNTIF(Prices!$A$2:$A$100,A6)&gt;0,"OK","Missing"))</f>
        <v>OK</v>
      </c>
      <c r="D6" t="str">
        <f>IF(A6="","",IF(SUMIFS(Transactions[Shares],Transactions[Ticker],A6,Transactions[Action],"Buy")-SUMIFS(Transactions[Shares],Transactions[Ticker],A6,Transactions[Action],"Sell")&gt;=0,"OK","Negative"))</f>
        <v>OK</v>
      </c>
      <c r="E6" t="str">
        <f ca="1">IF(A6="","",IF(_xlfn.XLOOKUP(A6,Prices!$A:$A,Prices!$B:$B,"")&gt;0,"OK","Missing Price"))</f>
        <v>OK</v>
      </c>
    </row>
    <row r="7" spans="1:5" x14ac:dyDescent="0.2">
      <c r="A7" t="str">
        <v>JPM</v>
      </c>
      <c r="B7" t="str">
        <f>IF(A7="","",IF(COUNTIF(Asset_Info!$A$2:$A$100,A7)&gt;0,"OK","Missing"))</f>
        <v>OK</v>
      </c>
      <c r="C7" t="str">
        <f>IF(A7="","",IF(COUNTIF(Prices!$A$2:$A$100,A7)&gt;0,"OK","Missing"))</f>
        <v>OK</v>
      </c>
      <c r="D7" t="str">
        <f>IF(A7="","",IF(SUMIFS(Transactions[Shares],Transactions[Ticker],A7,Transactions[Action],"Buy")-SUMIFS(Transactions[Shares],Transactions[Ticker],A7,Transactions[Action],"Sell")&gt;=0,"OK","Negative"))</f>
        <v>OK</v>
      </c>
      <c r="E7" t="str">
        <f ca="1">IF(A7="","",IF(_xlfn.XLOOKUP(A7,Prices!$A:$A,Prices!$B:$B,"")&gt;0,"OK","Missing Price"))</f>
        <v>OK</v>
      </c>
    </row>
    <row r="8" spans="1:5" x14ac:dyDescent="0.2">
      <c r="A8" t="str">
        <v>AMZN</v>
      </c>
      <c r="B8" t="str">
        <f>IF(A8="","",IF(COUNTIF(Asset_Info!$A$2:$A$100,A8)&gt;0,"OK","Missing"))</f>
        <v>OK</v>
      </c>
      <c r="C8" t="str">
        <f>IF(A8="","",IF(COUNTIF(Prices!$A$2:$A$100,A8)&gt;0,"OK","Missing"))</f>
        <v>OK</v>
      </c>
      <c r="D8" t="str">
        <f>IF(A8="","",IF(SUMIFS(Transactions[Shares],Transactions[Ticker],A8,Transactions[Action],"Buy")-SUMIFS(Transactions[Shares],Transactions[Ticker],A8,Transactions[Action],"Sell")&gt;=0,"OK","Negative"))</f>
        <v>OK</v>
      </c>
      <c r="E8" t="str">
        <f ca="1">IF(A8="","",IF(_xlfn.XLOOKUP(A8,Prices!$A:$A,Prices!$B:$B,"")&gt;0,"OK","Missing Price"))</f>
        <v>OK</v>
      </c>
    </row>
    <row r="9" spans="1:5" x14ac:dyDescent="0.2">
      <c r="A9" t="str">
        <v>GOOGL</v>
      </c>
      <c r="B9" t="str">
        <f>IF(A9="","",IF(COUNTIF(Asset_Info!$A$2:$A$100,A9)&gt;0,"OK","Missing"))</f>
        <v>OK</v>
      </c>
      <c r="C9" t="str">
        <f>IF(A9="","",IF(COUNTIF(Prices!$A$2:$A$100,A9)&gt;0,"OK","Missing"))</f>
        <v>OK</v>
      </c>
      <c r="D9" t="str">
        <f>IF(A9="","",IF(SUMIFS(Transactions[Shares],Transactions[Ticker],A9,Transactions[Action],"Buy")-SUMIFS(Transactions[Shares],Transactions[Ticker],A9,Transactions[Action],"Sell")&gt;=0,"OK","Negative"))</f>
        <v>OK</v>
      </c>
      <c r="E9" t="str">
        <f ca="1">IF(A9="","",IF(_xlfn.XLOOKUP(A9,Prices!$A:$A,Prices!$B:$B,"")&gt;0,"OK","Missing Price"))</f>
        <v>OK</v>
      </c>
    </row>
    <row r="10" spans="1:5" x14ac:dyDescent="0.2">
      <c r="B10" t="str">
        <f>IF(A10="","",IF(COUNTIF(Asset_Info!$A$2:$A$100,A10)&gt;0,"OK","Missing"))</f>
        <v/>
      </c>
      <c r="C10" t="str">
        <f>IF(A10="","",IF(COUNTIF(Prices!$A$2:$A$100,A10)&gt;0,"OK","Missing"))</f>
        <v/>
      </c>
      <c r="D10" t="str">
        <f>IF(A10="","",IF(SUMIFS(Transactions[Shares],Transactions[Ticker],A10,Transactions[Action],"Buy")-SUMIFS(Transactions[Shares],Transactions[Ticker],A10,Transactions[Action],"Sell")&gt;=0,"OK","Negative"))</f>
        <v/>
      </c>
      <c r="E10" t="str">
        <f>IF(A10="","",IF(_xlfn.XLOOKUP(A10,Prices!$A:$A,Prices!$B:$B,"")&gt;0,"OK","Missing Price"))</f>
        <v/>
      </c>
    </row>
    <row r="11" spans="1:5" x14ac:dyDescent="0.2">
      <c r="B11" t="str">
        <f>IF(A11="","",IF(COUNTIF(Asset_Info!$A$2:$A$100,A11)&gt;0,"OK","Missing"))</f>
        <v/>
      </c>
      <c r="C11" t="str">
        <f>IF(A11="","",IF(COUNTIF(Prices!$A$2:$A$100,A11)&gt;0,"OK","Missing"))</f>
        <v/>
      </c>
      <c r="D11" t="str">
        <f>IF(A11="","",IF(SUMIFS(Transactions[Shares],Transactions[Ticker],A11,Transactions[Action],"Buy")-SUMIFS(Transactions[Shares],Transactions[Ticker],A11,Transactions[Action],"Sell")&gt;=0,"OK","Negative"))</f>
        <v/>
      </c>
      <c r="E11" t="str">
        <f>IF(A11="","",IF(_xlfn.XLOOKUP(A11,Prices!$A:$A,Prices!$B:$B,"")&gt;0,"OK","Missing Price"))</f>
        <v/>
      </c>
    </row>
    <row r="12" spans="1:5" x14ac:dyDescent="0.2">
      <c r="B12" t="str">
        <f>IF(A12="","",IF(COUNTIF(Asset_Info!$A$2:$A$100,A12)&gt;0,"OK","Missing"))</f>
        <v/>
      </c>
      <c r="C12" t="str">
        <f>IF(A12="","",IF(COUNTIF(Prices!$A$2:$A$100,A12)&gt;0,"OK","Missing"))</f>
        <v/>
      </c>
      <c r="D12" t="str">
        <f>IF(A12="","",IF(SUMIFS(Transactions[Shares],Transactions[Ticker],A12,Transactions[Action],"Buy")-SUMIFS(Transactions[Shares],Transactions[Ticker],A12,Transactions[Action],"Sell")&gt;=0,"OK","Negative"))</f>
        <v/>
      </c>
      <c r="E12" t="str">
        <f>IF(A12="","",IF(_xlfn.XLOOKUP(A12,Prices!$A:$A,Prices!$B:$B,"")&gt;0,"OK","Missing Price"))</f>
        <v/>
      </c>
    </row>
    <row r="13" spans="1:5" x14ac:dyDescent="0.2">
      <c r="B13" t="str">
        <f>IF(A13="","",IF(COUNTIF(Asset_Info!$A$2:$A$100,A13)&gt;0,"OK","Missing"))</f>
        <v/>
      </c>
      <c r="C13" t="str">
        <f>IF(A13="","",IF(COUNTIF(Prices!$A$2:$A$100,A13)&gt;0,"OK","Missing"))</f>
        <v/>
      </c>
      <c r="D13" t="str">
        <f>IF(A13="","",IF(SUMIFS(Transactions[Shares],Transactions[Ticker],A13,Transactions[Action],"Buy")-SUMIFS(Transactions[Shares],Transactions[Ticker],A13,Transactions[Action],"Sell")&gt;=0,"OK","Negative"))</f>
        <v/>
      </c>
      <c r="E13" t="str">
        <f>IF(A13="","",IF(_xlfn.XLOOKUP(A13,Prices!$A:$A,Prices!$B:$B,"")&gt;0,"OK","Missing Price"))</f>
        <v/>
      </c>
    </row>
    <row r="14" spans="1:5" x14ac:dyDescent="0.2">
      <c r="B14" t="str">
        <f>IF(A14="","",IF(COUNTIF(Asset_Info!$A$2:$A$100,A14)&gt;0,"OK","Missing"))</f>
        <v/>
      </c>
      <c r="C14" t="str">
        <f>IF(A14="","",IF(COUNTIF(Prices!$A$2:$A$100,A14)&gt;0,"OK","Missing"))</f>
        <v/>
      </c>
      <c r="D14" t="str">
        <f>IF(A14="","",IF(SUMIFS(Transactions[Shares],Transactions[Ticker],A14,Transactions[Action],"Buy")-SUMIFS(Transactions[Shares],Transactions[Ticker],A14,Transactions[Action],"Sell")&gt;=0,"OK","Negative"))</f>
        <v/>
      </c>
      <c r="E14" t="str">
        <f>IF(A14="","",IF(_xlfn.XLOOKUP(A14,Prices!$A:$A,Prices!$B:$B,"")&gt;0,"OK","Missing Price"))</f>
        <v/>
      </c>
    </row>
    <row r="15" spans="1:5" x14ac:dyDescent="0.2">
      <c r="B15" t="str">
        <f>IF(A15="","",IF(COUNTIF(Asset_Info!$A$2:$A$100,A15)&gt;0,"OK","Missing"))</f>
        <v/>
      </c>
      <c r="C15" t="str">
        <f>IF(A15="","",IF(COUNTIF(Prices!$A$2:$A$100,A15)&gt;0,"OK","Missing"))</f>
        <v/>
      </c>
      <c r="D15" t="str">
        <f>IF(A15="","",IF(SUMIFS(Transactions[Shares],Transactions[Ticker],A15,Transactions[Action],"Buy")-SUMIFS(Transactions[Shares],Transactions[Ticker],A15,Transactions[Action],"Sell")&gt;=0,"OK","Negative"))</f>
        <v/>
      </c>
      <c r="E15" t="str">
        <f>IF(A15="","",IF(_xlfn.XLOOKUP(A15,Prices!$A:$A,Prices!$B:$B,"")&gt;0,"OK","Missing Price"))</f>
        <v/>
      </c>
    </row>
    <row r="16" spans="1:5" x14ac:dyDescent="0.2">
      <c r="B16" t="str">
        <f>IF(A16="","",IF(COUNTIF(Asset_Info!$A$2:$A$100,A16)&gt;0,"OK","Missing"))</f>
        <v/>
      </c>
      <c r="C16" t="str">
        <f>IF(A16="","",IF(COUNTIF(Prices!$A$2:$A$100,A16)&gt;0,"OK","Missing"))</f>
        <v/>
      </c>
      <c r="D16" t="str">
        <f>IF(A16="","",IF(SUMIFS(Transactions[Shares],Transactions[Ticker],A16,Transactions[Action],"Buy")-SUMIFS(Transactions[Shares],Transactions[Ticker],A16,Transactions[Action],"Sell")&gt;=0,"OK","Negative"))</f>
        <v/>
      </c>
      <c r="E16" t="str">
        <f>IF(A16="","",IF(_xlfn.XLOOKUP(A16,Prices!$A:$A,Prices!$B:$B,"")&gt;0,"OK","Missing Price"))</f>
        <v/>
      </c>
    </row>
    <row r="17" spans="2:5" x14ac:dyDescent="0.2">
      <c r="B17" t="str">
        <f>IF(A17="","",IF(COUNTIF(Asset_Info!$A$2:$A$100,A17)&gt;0,"OK","Missing"))</f>
        <v/>
      </c>
      <c r="C17" t="str">
        <f>IF(A17="","",IF(COUNTIF(Prices!$A$2:$A$100,A17)&gt;0,"OK","Missing"))</f>
        <v/>
      </c>
      <c r="D17" t="str">
        <f>IF(A17="","",IF(SUMIFS(Transactions[Shares],Transactions[Ticker],A17,Transactions[Action],"Buy")-SUMIFS(Transactions[Shares],Transactions[Ticker],A17,Transactions[Action],"Sell")&gt;=0,"OK","Negative"))</f>
        <v/>
      </c>
      <c r="E17" t="str">
        <f>IF(A17="","",IF(_xlfn.XLOOKUP(A17,Prices!$A:$A,Prices!$B:$B,"")&gt;0,"OK","Missing Price"))</f>
        <v/>
      </c>
    </row>
    <row r="18" spans="2:5" x14ac:dyDescent="0.2">
      <c r="B18" t="str">
        <f>IF(A18="","",IF(COUNTIF(Asset_Info!$A$2:$A$100,A18)&gt;0,"OK","Missing"))</f>
        <v/>
      </c>
      <c r="C18" t="str">
        <f>IF(A18="","",IF(COUNTIF(Prices!$A$2:$A$100,A18)&gt;0,"OK","Missing"))</f>
        <v/>
      </c>
      <c r="D18" t="str">
        <f>IF(A18="","",IF(SUMIFS(Transactions[Shares],Transactions[Ticker],A18,Transactions[Action],"Buy")-SUMIFS(Transactions[Shares],Transactions[Ticker],A18,Transactions[Action],"Sell")&gt;=0,"OK","Negative"))</f>
        <v/>
      </c>
      <c r="E18" t="str">
        <f>IF(A18="","",IF(_xlfn.XLOOKUP(A18,Prices!$A:$A,Prices!$B:$B,"")&gt;0,"OK","Missing Price"))</f>
        <v/>
      </c>
    </row>
    <row r="19" spans="2:5" x14ac:dyDescent="0.2">
      <c r="B19" t="str">
        <f>IF(A19="","",IF(COUNTIF(Asset_Info!$A$2:$A$100,A19)&gt;0,"OK","Missing"))</f>
        <v/>
      </c>
      <c r="C19" t="str">
        <f>IF(A19="","",IF(COUNTIF(Prices!$A$2:$A$100,A19)&gt;0,"OK","Missing"))</f>
        <v/>
      </c>
      <c r="D19" t="str">
        <f>IF(A19="","",IF(SUMIFS(Transactions[Shares],Transactions[Ticker],A19,Transactions[Action],"Buy")-SUMIFS(Transactions[Shares],Transactions[Ticker],A19,Transactions[Action],"Sell")&gt;=0,"OK","Negative"))</f>
        <v/>
      </c>
      <c r="E19" t="str">
        <f>IF(A19="","",IF(_xlfn.XLOOKUP(A19,Prices!$A:$A,Prices!$B:$B,"")&gt;0,"OK","Missing Price"))</f>
        <v/>
      </c>
    </row>
    <row r="20" spans="2:5" x14ac:dyDescent="0.2">
      <c r="B20" t="str">
        <f>IF(A20="","",IF(COUNTIF(Asset_Info!$A$2:$A$100,A20)&gt;0,"OK","Missing"))</f>
        <v/>
      </c>
      <c r="C20" t="str">
        <f>IF(A20="","",IF(COUNTIF(Prices!$A$2:$A$100,A20)&gt;0,"OK","Missing"))</f>
        <v/>
      </c>
      <c r="D20" t="str">
        <f>IF(A20="","",IF(SUMIFS(Transactions[Shares],Transactions[Ticker],A20,Transactions[Action],"Buy")-SUMIFS(Transactions[Shares],Transactions[Ticker],A20,Transactions[Action],"Sell")&gt;=0,"OK","Negative"))</f>
        <v/>
      </c>
      <c r="E20" t="str">
        <f>IF(A20="","",IF(_xlfn.XLOOKUP(A20,Prices!$A:$A,Prices!$B:$B,"")&gt;0,"OK","Missing Price"))</f>
        <v/>
      </c>
    </row>
    <row r="21" spans="2:5" x14ac:dyDescent="0.2">
      <c r="B21" t="str">
        <f>IF(A21="","",IF(COUNTIF(Asset_Info!$A$2:$A$100,A21)&gt;0,"OK","Missing"))</f>
        <v/>
      </c>
      <c r="C21" t="str">
        <f>IF(A21="","",IF(COUNTIF(Prices!$A$2:$A$100,A21)&gt;0,"OK","Missing"))</f>
        <v/>
      </c>
      <c r="D21" t="str">
        <f>IF(A21="","",IF(SUMIFS(Transactions[Shares],Transactions[Ticker],A21,Transactions[Action],"Buy")-SUMIFS(Transactions[Shares],Transactions[Ticker],A21,Transactions[Action],"Sell")&gt;=0,"OK","Negative"))</f>
        <v/>
      </c>
      <c r="E21" t="str">
        <f>IF(A21="","",IF(_xlfn.XLOOKUP(A21,Prices!$A:$A,Prices!$B:$B,"")&gt;0,"OK","Missing Price"))</f>
        <v/>
      </c>
    </row>
    <row r="22" spans="2:5" x14ac:dyDescent="0.2">
      <c r="B22" t="str">
        <f>IF(A22="","",IF(COUNTIF(Asset_Info!$A$2:$A$100,A22)&gt;0,"OK","Missing"))</f>
        <v/>
      </c>
      <c r="C22" t="str">
        <f>IF(A22="","",IF(COUNTIF(Prices!$A$2:$A$100,A22)&gt;0,"OK","Missing"))</f>
        <v/>
      </c>
      <c r="D22" t="str">
        <f>IF(A22="","",IF(SUMIFS(Transactions[Shares],Transactions[Ticker],A22,Transactions[Action],"Buy")-SUMIFS(Transactions[Shares],Transactions[Ticker],A22,Transactions[Action],"Sell")&gt;=0,"OK","Negative"))</f>
        <v/>
      </c>
      <c r="E22" t="str">
        <f>IF(A22="","",IF(_xlfn.XLOOKUP(A22,Prices!$A:$A,Prices!$B:$B,"")&gt;0,"OK","Missing Price"))</f>
        <v/>
      </c>
    </row>
    <row r="23" spans="2:5" x14ac:dyDescent="0.2">
      <c r="B23" t="str">
        <f>IF(A23="","",IF(COUNTIF(Asset_Info!$A$2:$A$100,A23)&gt;0,"OK","Missing"))</f>
        <v/>
      </c>
      <c r="C23" t="str">
        <f>IF(A23="","",IF(COUNTIF(Prices!$A$2:$A$100,A23)&gt;0,"OK","Missing"))</f>
        <v/>
      </c>
      <c r="D23" t="str">
        <f>IF(A23="","",IF(SUMIFS(Transactions[Shares],Transactions[Ticker],A23,Transactions[Action],"Buy")-SUMIFS(Transactions[Shares],Transactions[Ticker],A23,Transactions[Action],"Sell")&gt;=0,"OK","Negative"))</f>
        <v/>
      </c>
      <c r="E23" t="str">
        <f>IF(A23="","",IF(_xlfn.XLOOKUP(A23,Prices!$A:$A,Prices!$B:$B,"")&gt;0,"OK","Missing Price"))</f>
        <v/>
      </c>
    </row>
    <row r="24" spans="2:5" x14ac:dyDescent="0.2">
      <c r="B24" t="str">
        <f>IF(A24="","",IF(COUNTIF(Asset_Info!$A$2:$A$100,A24)&gt;0,"OK","Missing"))</f>
        <v/>
      </c>
      <c r="C24" t="str">
        <f>IF(A24="","",IF(COUNTIF(Prices!$A$2:$A$100,A24)&gt;0,"OK","Missing"))</f>
        <v/>
      </c>
      <c r="D24" t="str">
        <f>IF(A24="","",IF(SUMIFS(Transactions[Shares],Transactions[Ticker],A24,Transactions[Action],"Buy")-SUMIFS(Transactions[Shares],Transactions[Ticker],A24,Transactions[Action],"Sell")&gt;=0,"OK","Negative"))</f>
        <v/>
      </c>
      <c r="E24" t="str">
        <f>IF(A24="","",IF(_xlfn.XLOOKUP(A24,Prices!$A:$A,Prices!$B:$B,"")&gt;0,"OK","Missing Price"))</f>
        <v/>
      </c>
    </row>
    <row r="25" spans="2:5" x14ac:dyDescent="0.2">
      <c r="B25" t="str">
        <f>IF(A25="","",IF(COUNTIF(Asset_Info!$A$2:$A$100,A25)&gt;0,"OK","Missing"))</f>
        <v/>
      </c>
      <c r="C25" t="str">
        <f>IF(A25="","",IF(COUNTIF(Prices!$A$2:$A$100,A25)&gt;0,"OK","Missing"))</f>
        <v/>
      </c>
      <c r="D25" t="str">
        <f>IF(A25="","",IF(SUMIFS(Transactions[Shares],Transactions[Ticker],A25,Transactions[Action],"Buy")-SUMIFS(Transactions[Shares],Transactions[Ticker],A25,Transactions[Action],"Sell")&gt;=0,"OK","Negative"))</f>
        <v/>
      </c>
      <c r="E25" t="str">
        <f>IF(A25="","",IF(_xlfn.XLOOKUP(A25,Prices!$A:$A,Prices!$B:$B,"")&gt;0,"OK","Missing Price"))</f>
        <v/>
      </c>
    </row>
    <row r="26" spans="2:5" x14ac:dyDescent="0.2">
      <c r="B26" t="str">
        <f>IF(A26="","",IF(COUNTIF(Asset_Info!$A$2:$A$100,A26)&gt;0,"OK","Missing"))</f>
        <v/>
      </c>
      <c r="C26" t="str">
        <f>IF(A26="","",IF(COUNTIF(Prices!$A$2:$A$100,A26)&gt;0,"OK","Missing"))</f>
        <v/>
      </c>
      <c r="D26" t="str">
        <f>IF(A26="","",IF(SUMIFS(Transactions[Shares],Transactions[Ticker],A26,Transactions[Action],"Buy")-SUMIFS(Transactions[Shares],Transactions[Ticker],A26,Transactions[Action],"Sell")&gt;=0,"OK","Negative"))</f>
        <v/>
      </c>
      <c r="E26" t="str">
        <f>IF(A26="","",IF(_xlfn.XLOOKUP(A26,Prices!$A:$A,Prices!$B:$B,"")&gt;0,"OK","Missing Price"))</f>
        <v/>
      </c>
    </row>
    <row r="27" spans="2:5" x14ac:dyDescent="0.2">
      <c r="B27" t="str">
        <f>IF(A27="","",IF(COUNTIF(Asset_Info!$A$2:$A$100,A27)&gt;0,"OK","Missing"))</f>
        <v/>
      </c>
      <c r="C27" t="str">
        <f>IF(A27="","",IF(COUNTIF(Prices!$A$2:$A$100,A27)&gt;0,"OK","Missing"))</f>
        <v/>
      </c>
      <c r="D27" t="str">
        <f>IF(A27="","",IF(SUMIFS(Transactions[Shares],Transactions[Ticker],A27,Transactions[Action],"Buy")-SUMIFS(Transactions[Shares],Transactions[Ticker],A27,Transactions[Action],"Sell")&gt;=0,"OK","Negative"))</f>
        <v/>
      </c>
      <c r="E27" t="str">
        <f>IF(A27="","",IF(_xlfn.XLOOKUP(A27,Prices!$A:$A,Prices!$B:$B,"")&gt;0,"OK","Missing Price"))</f>
        <v/>
      </c>
    </row>
    <row r="28" spans="2:5" x14ac:dyDescent="0.2">
      <c r="B28" t="str">
        <f>IF(A28="","",IF(COUNTIF(Asset_Info!$A$2:$A$100,A28)&gt;0,"OK","Missing"))</f>
        <v/>
      </c>
      <c r="C28" t="str">
        <f>IF(A28="","",IF(COUNTIF(Prices!$A$2:$A$100,A28)&gt;0,"OK","Missing"))</f>
        <v/>
      </c>
      <c r="D28" t="str">
        <f>IF(A28="","",IF(SUMIFS(Transactions[Shares],Transactions[Ticker],A28,Transactions[Action],"Buy")-SUMIFS(Transactions[Shares],Transactions[Ticker],A28,Transactions[Action],"Sell")&gt;=0,"OK","Negative"))</f>
        <v/>
      </c>
      <c r="E28" t="str">
        <f>IF(A28="","",IF(_xlfn.XLOOKUP(A28,Prices!$A:$A,Prices!$B:$B,"")&gt;0,"OK","Missing Price"))</f>
        <v/>
      </c>
    </row>
    <row r="29" spans="2:5" x14ac:dyDescent="0.2">
      <c r="B29" t="str">
        <f>IF(A29="","",IF(COUNTIF(Asset_Info!$A$2:$A$100,A29)&gt;0,"OK","Missing"))</f>
        <v/>
      </c>
      <c r="C29" t="str">
        <f>IF(A29="","",IF(COUNTIF(Prices!$A$2:$A$100,A29)&gt;0,"OK","Missing"))</f>
        <v/>
      </c>
      <c r="D29" t="str">
        <f>IF(A29="","",IF(SUMIFS(Transactions[Shares],Transactions[Ticker],A29,Transactions[Action],"Buy")-SUMIFS(Transactions[Shares],Transactions[Ticker],A29,Transactions[Action],"Sell")&gt;=0,"OK","Negative"))</f>
        <v/>
      </c>
      <c r="E29" t="str">
        <f>IF(A29="","",IF(_xlfn.XLOOKUP(A29,Prices!$A:$A,Prices!$B:$B,"")&gt;0,"OK","Missing Price"))</f>
        <v/>
      </c>
    </row>
    <row r="30" spans="2:5" x14ac:dyDescent="0.2">
      <c r="B30" t="str">
        <f>IF(A30="","",IF(COUNTIF(Asset_Info!$A$2:$A$100,A30)&gt;0,"OK","Missing"))</f>
        <v/>
      </c>
      <c r="C30" t="str">
        <f>IF(A30="","",IF(COUNTIF(Prices!$A$2:$A$100,A30)&gt;0,"OK","Missing"))</f>
        <v/>
      </c>
      <c r="D30" t="str">
        <f>IF(A30="","",IF(SUMIFS(Transactions[Shares],Transactions[Ticker],A30,Transactions[Action],"Buy")-SUMIFS(Transactions[Shares],Transactions[Ticker],A30,Transactions[Action],"Sell")&gt;=0,"OK","Negative"))</f>
        <v/>
      </c>
      <c r="E30" t="str">
        <f>IF(A30="","",IF(_xlfn.XLOOKUP(A30,Prices!$A:$A,Prices!$B:$B,"")&gt;0,"OK","Missing Price"))</f>
        <v/>
      </c>
    </row>
    <row r="31" spans="2:5" x14ac:dyDescent="0.2">
      <c r="B31" t="str">
        <f>IF(A31="","",IF(COUNTIF(Asset_Info!$A$2:$A$100,A31)&gt;0,"OK","Missing"))</f>
        <v/>
      </c>
      <c r="C31" t="str">
        <f>IF(A31="","",IF(COUNTIF(Prices!$A$2:$A$100,A31)&gt;0,"OK","Missing"))</f>
        <v/>
      </c>
      <c r="D31" t="str">
        <f>IF(A31="","",IF(SUMIFS(Transactions[Shares],Transactions[Ticker],A31,Transactions[Action],"Buy")-SUMIFS(Transactions[Shares],Transactions[Ticker],A31,Transactions[Action],"Sell")&gt;=0,"OK","Negative"))</f>
        <v/>
      </c>
      <c r="E31" t="str">
        <f>IF(A31="","",IF(_xlfn.XLOOKUP(A31,Prices!$A:$A,Prices!$B:$B,"")&gt;0,"OK","Missing Price"))</f>
        <v/>
      </c>
    </row>
    <row r="32" spans="2:5" x14ac:dyDescent="0.2">
      <c r="B32" t="str">
        <f>IF(A32="","",IF(COUNTIF(Asset_Info!$A$2:$A$100,A32)&gt;0,"OK","Missing"))</f>
        <v/>
      </c>
      <c r="C32" t="str">
        <f>IF(A32="","",IF(COUNTIF(Prices!$A$2:$A$100,A32)&gt;0,"OK","Missing"))</f>
        <v/>
      </c>
      <c r="D32" t="str">
        <f>IF(A32="","",IF(SUMIFS(Transactions[Shares],Transactions[Ticker],A32,Transactions[Action],"Buy")-SUMIFS(Transactions[Shares],Transactions[Ticker],A32,Transactions[Action],"Sell")&gt;=0,"OK","Negative"))</f>
        <v/>
      </c>
      <c r="E32" t="str">
        <f>IF(A32="","",IF(_xlfn.XLOOKUP(A32,Prices!$A:$A,Prices!$B:$B,"")&gt;0,"OK","Missing Price"))</f>
        <v/>
      </c>
    </row>
    <row r="33" spans="2:5" x14ac:dyDescent="0.2">
      <c r="B33" t="str">
        <f>IF(A33="","",IF(COUNTIF(Asset_Info!$A$2:$A$100,A33)&gt;0,"OK","Missing"))</f>
        <v/>
      </c>
      <c r="C33" t="str">
        <f>IF(A33="","",IF(COUNTIF(Prices!$A$2:$A$100,A33)&gt;0,"OK","Missing"))</f>
        <v/>
      </c>
      <c r="D33" t="str">
        <f>IF(A33="","",IF(SUMIFS(Transactions[Shares],Transactions[Ticker],A33,Transactions[Action],"Buy")-SUMIFS(Transactions[Shares],Transactions[Ticker],A33,Transactions[Action],"Sell")&gt;=0,"OK","Negative"))</f>
        <v/>
      </c>
      <c r="E33" t="str">
        <f>IF(A33="","",IF(_xlfn.XLOOKUP(A33,Prices!$A:$A,Prices!$B:$B,"")&gt;0,"OK","Missing Price"))</f>
        <v/>
      </c>
    </row>
    <row r="34" spans="2:5" x14ac:dyDescent="0.2">
      <c r="B34" t="str">
        <f>IF(A34="","",IF(COUNTIF(Asset_Info!$A$2:$A$100,A34)&gt;0,"OK","Missing"))</f>
        <v/>
      </c>
      <c r="C34" t="str">
        <f>IF(A34="","",IF(COUNTIF(Prices!$A$2:$A$100,A34)&gt;0,"OK","Missing"))</f>
        <v/>
      </c>
      <c r="D34" t="str">
        <f>IF(A34="","",IF(SUMIFS(Transactions[Shares],Transactions[Ticker],A34,Transactions[Action],"Buy")-SUMIFS(Transactions[Shares],Transactions[Ticker],A34,Transactions[Action],"Sell")&gt;=0,"OK","Negative"))</f>
        <v/>
      </c>
      <c r="E34" t="str">
        <f>IF(A34="","",IF(_xlfn.XLOOKUP(A34,Prices!$A:$A,Prices!$B:$B,"")&gt;0,"OK","Missing Price"))</f>
        <v/>
      </c>
    </row>
    <row r="35" spans="2:5" x14ac:dyDescent="0.2">
      <c r="B35" t="str">
        <f>IF(A35="","",IF(COUNTIF(Asset_Info!$A$2:$A$100,A35)&gt;0,"OK","Missing"))</f>
        <v/>
      </c>
      <c r="C35" t="str">
        <f>IF(A35="","",IF(COUNTIF(Prices!$A$2:$A$100,A35)&gt;0,"OK","Missing"))</f>
        <v/>
      </c>
      <c r="D35" t="str">
        <f>IF(A35="","",IF(SUMIFS(Transactions[Shares],Transactions[Ticker],A35,Transactions[Action],"Buy")-SUMIFS(Transactions[Shares],Transactions[Ticker],A35,Transactions[Action],"Sell")&gt;=0,"OK","Negative"))</f>
        <v/>
      </c>
      <c r="E35" t="str">
        <f>IF(A35="","",IF(_xlfn.XLOOKUP(A35,Prices!$A:$A,Prices!$B:$B,"")&gt;0,"OK","Missing Price"))</f>
        <v/>
      </c>
    </row>
    <row r="36" spans="2:5" x14ac:dyDescent="0.2">
      <c r="B36" t="str">
        <f>IF(A36="","",IF(COUNTIF(Asset_Info!$A$2:$A$100,A36)&gt;0,"OK","Missing"))</f>
        <v/>
      </c>
      <c r="C36" t="str">
        <f>IF(A36="","",IF(COUNTIF(Prices!$A$2:$A$100,A36)&gt;0,"OK","Missing"))</f>
        <v/>
      </c>
      <c r="D36" t="str">
        <f>IF(A36="","",IF(SUMIFS(Transactions[Shares],Transactions[Ticker],A36,Transactions[Action],"Buy")-SUMIFS(Transactions[Shares],Transactions[Ticker],A36,Transactions[Action],"Sell")&gt;=0,"OK","Negative"))</f>
        <v/>
      </c>
      <c r="E36" t="str">
        <f>IF(A36="","",IF(_xlfn.XLOOKUP(A36,Prices!$A:$A,Prices!$B:$B,"")&gt;0,"OK","Missing Price"))</f>
        <v/>
      </c>
    </row>
    <row r="37" spans="2:5" x14ac:dyDescent="0.2">
      <c r="B37" t="str">
        <f>IF(A37="","",IF(COUNTIF(Asset_Info!$A$2:$A$100,A37)&gt;0,"OK","Missing"))</f>
        <v/>
      </c>
      <c r="C37" t="str">
        <f>IF(A37="","",IF(COUNTIF(Prices!$A$2:$A$100,A37)&gt;0,"OK","Missing"))</f>
        <v/>
      </c>
      <c r="D37" t="str">
        <f>IF(A37="","",IF(SUMIFS(Transactions[Shares],Transactions[Ticker],A37,Transactions[Action],"Buy")-SUMIFS(Transactions[Shares],Transactions[Ticker],A37,Transactions[Action],"Sell")&gt;=0,"OK","Negative"))</f>
        <v/>
      </c>
      <c r="E37" t="str">
        <f>IF(A37="","",IF(_xlfn.XLOOKUP(A37,Prices!$A:$A,Prices!$B:$B,"")&gt;0,"OK","Missing Price"))</f>
        <v/>
      </c>
    </row>
    <row r="38" spans="2:5" x14ac:dyDescent="0.2">
      <c r="B38" t="str">
        <f>IF(A38="","",IF(COUNTIF(Asset_Info!$A$2:$A$100,A38)&gt;0,"OK","Missing"))</f>
        <v/>
      </c>
      <c r="C38" t="str">
        <f>IF(A38="","",IF(COUNTIF(Prices!$A$2:$A$100,A38)&gt;0,"OK","Missing"))</f>
        <v/>
      </c>
      <c r="D38" t="str">
        <f>IF(A38="","",IF(SUMIFS(Transactions[Shares],Transactions[Ticker],A38,Transactions[Action],"Buy")-SUMIFS(Transactions[Shares],Transactions[Ticker],A38,Transactions[Action],"Sell")&gt;=0,"OK","Negative"))</f>
        <v/>
      </c>
      <c r="E38" t="str">
        <f>IF(A38="","",IF(_xlfn.XLOOKUP(A38,Prices!$A:$A,Prices!$B:$B,"")&gt;0,"OK","Missing Price"))</f>
        <v/>
      </c>
    </row>
    <row r="39" spans="2:5" x14ac:dyDescent="0.2">
      <c r="B39" t="str">
        <f>IF(A39="","",IF(COUNTIF(Asset_Info!$A$2:$A$100,A39)&gt;0,"OK","Missing"))</f>
        <v/>
      </c>
      <c r="C39" t="str">
        <f>IF(A39="","",IF(COUNTIF(Prices!$A$2:$A$100,A39)&gt;0,"OK","Missing"))</f>
        <v/>
      </c>
      <c r="D39" t="str">
        <f>IF(A39="","",IF(SUMIFS(Transactions[Shares],Transactions[Ticker],A39,Transactions[Action],"Buy")-SUMIFS(Transactions[Shares],Transactions[Ticker],A39,Transactions[Action],"Sell")&gt;=0,"OK","Negative"))</f>
        <v/>
      </c>
      <c r="E39" t="str">
        <f>IF(A39="","",IF(_xlfn.XLOOKUP(A39,Prices!$A:$A,Prices!$B:$B,"")&gt;0,"OK","Missing Price"))</f>
        <v/>
      </c>
    </row>
    <row r="40" spans="2:5" x14ac:dyDescent="0.2">
      <c r="B40" t="str">
        <f>IF(A40="","",IF(COUNTIF(Asset_Info!$A$2:$A$100,A40)&gt;0,"OK","Missing"))</f>
        <v/>
      </c>
      <c r="C40" t="str">
        <f>IF(A40="","",IF(COUNTIF(Prices!$A$2:$A$100,A40)&gt;0,"OK","Missing"))</f>
        <v/>
      </c>
      <c r="D40" t="str">
        <f>IF(A40="","",IF(SUMIFS(Transactions[Shares],Transactions[Ticker],A40,Transactions[Action],"Buy")-SUMIFS(Transactions[Shares],Transactions[Ticker],A40,Transactions[Action],"Sell")&gt;=0,"OK","Negative"))</f>
        <v/>
      </c>
      <c r="E40" t="str">
        <f>IF(A40="","",IF(_xlfn.XLOOKUP(A40,Prices!$A:$A,Prices!$B:$B,"")&gt;0,"OK","Missing Price"))</f>
        <v/>
      </c>
    </row>
    <row r="41" spans="2:5" x14ac:dyDescent="0.2">
      <c r="B41" t="str">
        <f>IF(A41="","",IF(COUNTIF(Asset_Info!$A$2:$A$100,A41)&gt;0,"OK","Missing"))</f>
        <v/>
      </c>
      <c r="C41" t="str">
        <f>IF(A41="","",IF(COUNTIF(Prices!$A$2:$A$100,A41)&gt;0,"OK","Missing"))</f>
        <v/>
      </c>
      <c r="D41" t="str">
        <f>IF(A41="","",IF(SUMIFS(Transactions[Shares],Transactions[Ticker],A41,Transactions[Action],"Buy")-SUMIFS(Transactions[Shares],Transactions[Ticker],A41,Transactions[Action],"Sell")&gt;=0,"OK","Negative"))</f>
        <v/>
      </c>
      <c r="E41" t="str">
        <f>IF(A41="","",IF(_xlfn.XLOOKUP(A41,Prices!$A:$A,Prices!$B:$B,"")&gt;0,"OK","Missing Price"))</f>
        <v/>
      </c>
    </row>
    <row r="42" spans="2:5" x14ac:dyDescent="0.2">
      <c r="B42" t="str">
        <f>IF(A42="","",IF(COUNTIF(Asset_Info!$A$2:$A$100,A42)&gt;0,"OK","Missing"))</f>
        <v/>
      </c>
      <c r="C42" t="str">
        <f>IF(A42="","",IF(COUNTIF(Prices!$A$2:$A$100,A42)&gt;0,"OK","Missing"))</f>
        <v/>
      </c>
      <c r="D42" t="str">
        <f>IF(A42="","",IF(SUMIFS(Transactions[Shares],Transactions[Ticker],A42,Transactions[Action],"Buy")-SUMIFS(Transactions[Shares],Transactions[Ticker],A42,Transactions[Action],"Sell")&gt;=0,"OK","Negative"))</f>
        <v/>
      </c>
      <c r="E42" t="str">
        <f>IF(A42="","",IF(_xlfn.XLOOKUP(A42,Prices!$A:$A,Prices!$B:$B,"")&gt;0,"OK","Missing Price"))</f>
        <v/>
      </c>
    </row>
    <row r="43" spans="2:5" x14ac:dyDescent="0.2">
      <c r="B43" t="str">
        <f>IF(A43="","",IF(COUNTIF(Asset_Info!$A$2:$A$100,A43)&gt;0,"OK","Missing"))</f>
        <v/>
      </c>
      <c r="C43" t="str">
        <f>IF(A43="","",IF(COUNTIF(Prices!$A$2:$A$100,A43)&gt;0,"OK","Missing"))</f>
        <v/>
      </c>
      <c r="D43" t="str">
        <f>IF(A43="","",IF(SUMIFS(Transactions[Shares],Transactions[Ticker],A43,Transactions[Action],"Buy")-SUMIFS(Transactions[Shares],Transactions[Ticker],A43,Transactions[Action],"Sell")&gt;=0,"OK","Negative"))</f>
        <v/>
      </c>
      <c r="E43" t="str">
        <f>IF(A43="","",IF(_xlfn.XLOOKUP(A43,Prices!$A:$A,Prices!$B:$B,"")&gt;0,"OK","Missing Price"))</f>
        <v/>
      </c>
    </row>
    <row r="44" spans="2:5" x14ac:dyDescent="0.2">
      <c r="B44" t="str">
        <f>IF(A44="","",IF(COUNTIF(Asset_Info!$A$2:$A$100,A44)&gt;0,"OK","Missing"))</f>
        <v/>
      </c>
      <c r="C44" t="str">
        <f>IF(A44="","",IF(COUNTIF(Prices!$A$2:$A$100,A44)&gt;0,"OK","Missing"))</f>
        <v/>
      </c>
      <c r="D44" t="str">
        <f>IF(A44="","",IF(SUMIFS(Transactions[Shares],Transactions[Ticker],A44,Transactions[Action],"Buy")-SUMIFS(Transactions[Shares],Transactions[Ticker],A44,Transactions[Action],"Sell")&gt;=0,"OK","Negative"))</f>
        <v/>
      </c>
      <c r="E44" t="str">
        <f>IF(A44="","",IF(_xlfn.XLOOKUP(A44,Prices!$A:$A,Prices!$B:$B,"")&gt;0,"OK","Missing Price"))</f>
        <v/>
      </c>
    </row>
    <row r="45" spans="2:5" x14ac:dyDescent="0.2">
      <c r="B45" t="str">
        <f>IF(A45="","",IF(COUNTIF(Asset_Info!$A$2:$A$100,A45)&gt;0,"OK","Missing"))</f>
        <v/>
      </c>
      <c r="C45" t="str">
        <f>IF(A45="","",IF(COUNTIF(Prices!$A$2:$A$100,A45)&gt;0,"OK","Missing"))</f>
        <v/>
      </c>
      <c r="D45" t="str">
        <f>IF(A45="","",IF(SUMIFS(Transactions[Shares],Transactions[Ticker],A45,Transactions[Action],"Buy")-SUMIFS(Transactions[Shares],Transactions[Ticker],A45,Transactions[Action],"Sell")&gt;=0,"OK","Negative"))</f>
        <v/>
      </c>
      <c r="E45" t="str">
        <f>IF(A45="","",IF(_xlfn.XLOOKUP(A45,Prices!$A:$A,Prices!$B:$B,"")&gt;0,"OK","Missing Price"))</f>
        <v/>
      </c>
    </row>
    <row r="46" spans="2:5" x14ac:dyDescent="0.2">
      <c r="B46" t="str">
        <f>IF(A46="","",IF(COUNTIF(Asset_Info!$A$2:$A$100,A46)&gt;0,"OK","Missing"))</f>
        <v/>
      </c>
      <c r="C46" t="str">
        <f>IF(A46="","",IF(COUNTIF(Prices!$A$2:$A$100,A46)&gt;0,"OK","Missing"))</f>
        <v/>
      </c>
      <c r="D46" t="str">
        <f>IF(A46="","",IF(SUMIFS(Transactions[Shares],Transactions[Ticker],A46,Transactions[Action],"Buy")-SUMIFS(Transactions[Shares],Transactions[Ticker],A46,Transactions[Action],"Sell")&gt;=0,"OK","Negative"))</f>
        <v/>
      </c>
      <c r="E46" t="str">
        <f>IF(A46="","",IF(_xlfn.XLOOKUP(A46,Prices!$A:$A,Prices!$B:$B,"")&gt;0,"OK","Missing Price"))</f>
        <v/>
      </c>
    </row>
    <row r="47" spans="2:5" x14ac:dyDescent="0.2">
      <c r="B47" t="str">
        <f>IF(A47="","",IF(COUNTIF(Asset_Info!$A$2:$A$100,A47)&gt;0,"OK","Missing"))</f>
        <v/>
      </c>
      <c r="C47" t="str">
        <f>IF(A47="","",IF(COUNTIF(Prices!$A$2:$A$100,A47)&gt;0,"OK","Missing"))</f>
        <v/>
      </c>
      <c r="D47" t="str">
        <f>IF(A47="","",IF(SUMIFS(Transactions[Shares],Transactions[Ticker],A47,Transactions[Action],"Buy")-SUMIFS(Transactions[Shares],Transactions[Ticker],A47,Transactions[Action],"Sell")&gt;=0,"OK","Negative"))</f>
        <v/>
      </c>
      <c r="E47" t="str">
        <f>IF(A47="","",IF(_xlfn.XLOOKUP(A47,Prices!$A:$A,Prices!$B:$B,"")&gt;0,"OK","Missing Price"))</f>
        <v/>
      </c>
    </row>
    <row r="48" spans="2:5" x14ac:dyDescent="0.2">
      <c r="B48" t="str">
        <f>IF(A48="","",IF(COUNTIF(Asset_Info!$A$2:$A$100,A48)&gt;0,"OK","Missing"))</f>
        <v/>
      </c>
      <c r="C48" t="str">
        <f>IF(A48="","",IF(COUNTIF(Prices!$A$2:$A$100,A48)&gt;0,"OK","Missing"))</f>
        <v/>
      </c>
      <c r="D48" t="str">
        <f>IF(A48="","",IF(SUMIFS(Transactions[Shares],Transactions[Ticker],A48,Transactions[Action],"Buy")-SUMIFS(Transactions[Shares],Transactions[Ticker],A48,Transactions[Action],"Sell")&gt;=0,"OK","Negative"))</f>
        <v/>
      </c>
      <c r="E48" t="str">
        <f>IF(A48="","",IF(_xlfn.XLOOKUP(A48,Prices!$A:$A,Prices!$B:$B,"")&gt;0,"OK","Missing Price"))</f>
        <v/>
      </c>
    </row>
    <row r="49" spans="2:5" x14ac:dyDescent="0.2">
      <c r="B49" t="str">
        <f>IF(A49="","",IF(COUNTIF(Asset_Info!$A$2:$A$100,A49)&gt;0,"OK","Missing"))</f>
        <v/>
      </c>
      <c r="C49" t="str">
        <f>IF(A49="","",IF(COUNTIF(Prices!$A$2:$A$100,A49)&gt;0,"OK","Missing"))</f>
        <v/>
      </c>
      <c r="D49" t="str">
        <f>IF(A49="","",IF(SUMIFS(Transactions[Shares],Transactions[Ticker],A49,Transactions[Action],"Buy")-SUMIFS(Transactions[Shares],Transactions[Ticker],A49,Transactions[Action],"Sell")&gt;=0,"OK","Negative"))</f>
        <v/>
      </c>
      <c r="E49" t="str">
        <f>IF(A49="","",IF(_xlfn.XLOOKUP(A49,Prices!$A:$A,Prices!$B:$B,"")&gt;0,"OK","Missing Price"))</f>
        <v/>
      </c>
    </row>
    <row r="50" spans="2:5" x14ac:dyDescent="0.2">
      <c r="B50" t="str">
        <f>IF(A50="","",IF(COUNTIF(Asset_Info!$A$2:$A$100,A50)&gt;0,"OK","Missing"))</f>
        <v/>
      </c>
      <c r="C50" t="str">
        <f>IF(A50="","",IF(COUNTIF(Prices!$A$2:$A$100,A50)&gt;0,"OK","Missing"))</f>
        <v/>
      </c>
      <c r="D50" t="str">
        <f>IF(A50="","",IF(SUMIFS(Transactions[Shares],Transactions[Ticker],A50,Transactions[Action],"Buy")-SUMIFS(Transactions[Shares],Transactions[Ticker],A50,Transactions[Action],"Sell")&gt;=0,"OK","Negative"))</f>
        <v/>
      </c>
      <c r="E50" t="str">
        <f>IF(A50="","",IF(_xlfn.XLOOKUP(A50,Prices!$A:$A,Prices!$B:$B,"")&gt;0,"OK","Missing Price"))</f>
        <v/>
      </c>
    </row>
    <row r="51" spans="2:5" x14ac:dyDescent="0.2">
      <c r="B51" t="str">
        <f>IF(A51="","",IF(COUNTIF(Asset_Info!$A$2:$A$100,A51)&gt;0,"OK","Missing"))</f>
        <v/>
      </c>
      <c r="C51" t="str">
        <f>IF(A51="","",IF(COUNTIF(Prices!$A$2:$A$100,A51)&gt;0,"OK","Missing"))</f>
        <v/>
      </c>
      <c r="D51" t="str">
        <f>IF(A51="","",IF(SUMIFS(Transactions[Shares],Transactions[Ticker],A51,Transactions[Action],"Buy")-SUMIFS(Transactions[Shares],Transactions[Ticker],A51,Transactions[Action],"Sell")&gt;=0,"OK","Negative"))</f>
        <v/>
      </c>
      <c r="E51" t="str">
        <f>IF(A51="","",IF(_xlfn.XLOOKUP(A51,Prices!$A:$A,Prices!$B:$B,"")&gt;0,"OK","Missing Price"))</f>
        <v/>
      </c>
    </row>
    <row r="52" spans="2:5" x14ac:dyDescent="0.2">
      <c r="B52" t="str">
        <f>IF(A52="","",IF(COUNTIF(Asset_Info!$A$2:$A$100,A52)&gt;0,"OK","Missing"))</f>
        <v/>
      </c>
      <c r="C52" t="str">
        <f>IF(A52="","",IF(COUNTIF(Prices!$A$2:$A$100,A52)&gt;0,"OK","Missing"))</f>
        <v/>
      </c>
      <c r="D52" t="str">
        <f>IF(A52="","",IF(SUMIFS(Transactions[Shares],Transactions[Ticker],A52,Transactions[Action],"Buy")-SUMIFS(Transactions[Shares],Transactions[Ticker],A52,Transactions[Action],"Sell")&gt;=0,"OK","Negative"))</f>
        <v/>
      </c>
      <c r="E52" t="str">
        <f>IF(A52="","",IF(_xlfn.XLOOKUP(A52,Prices!$A:$A,Prices!$B:$B,"")&gt;0,"OK","Missing Price"))</f>
        <v/>
      </c>
    </row>
    <row r="53" spans="2:5" x14ac:dyDescent="0.2">
      <c r="B53" t="str">
        <f>IF(A53="","",IF(COUNTIF(Asset_Info!$A$2:$A$100,A53)&gt;0,"OK","Missing"))</f>
        <v/>
      </c>
      <c r="C53" t="str">
        <f>IF(A53="","",IF(COUNTIF(Prices!$A$2:$A$100,A53)&gt;0,"OK","Missing"))</f>
        <v/>
      </c>
      <c r="D53" t="str">
        <f>IF(A53="","",IF(SUMIFS(Transactions[Shares],Transactions[Ticker],A53,Transactions[Action],"Buy")-SUMIFS(Transactions[Shares],Transactions[Ticker],A53,Transactions[Action],"Sell")&gt;=0,"OK","Negative"))</f>
        <v/>
      </c>
      <c r="E53" t="str">
        <f>IF(A53="","",IF(_xlfn.XLOOKUP(A53,Prices!$A:$A,Prices!$B:$B,"")&gt;0,"OK","Missing Price"))</f>
        <v/>
      </c>
    </row>
    <row r="54" spans="2:5" x14ac:dyDescent="0.2">
      <c r="B54" t="str">
        <f>IF(A54="","",IF(COUNTIF(Asset_Info!$A$2:$A$100,A54)&gt;0,"OK","Missing"))</f>
        <v/>
      </c>
      <c r="C54" t="str">
        <f>IF(A54="","",IF(COUNTIF(Prices!$A$2:$A$100,A54)&gt;0,"OK","Missing"))</f>
        <v/>
      </c>
      <c r="D54" t="str">
        <f>IF(A54="","",IF(SUMIFS(Transactions[Shares],Transactions[Ticker],A54,Transactions[Action],"Buy")-SUMIFS(Transactions[Shares],Transactions[Ticker],A54,Transactions[Action],"Sell")&gt;=0,"OK","Negative"))</f>
        <v/>
      </c>
      <c r="E54" t="str">
        <f>IF(A54="","",IF(_xlfn.XLOOKUP(A54,Prices!$A:$A,Prices!$B:$B,"")&gt;0,"OK","Missing Price"))</f>
        <v/>
      </c>
    </row>
    <row r="55" spans="2:5" x14ac:dyDescent="0.2">
      <c r="B55" t="str">
        <f>IF(A55="","",IF(COUNTIF(Asset_Info!$A$2:$A$100,A55)&gt;0,"OK","Missing"))</f>
        <v/>
      </c>
      <c r="C55" t="str">
        <f>IF(A55="","",IF(COUNTIF(Prices!$A$2:$A$100,A55)&gt;0,"OK","Missing"))</f>
        <v/>
      </c>
      <c r="D55" t="str">
        <f>IF(A55="","",IF(SUMIFS(Transactions[Shares],Transactions[Ticker],A55,Transactions[Action],"Buy")-SUMIFS(Transactions[Shares],Transactions[Ticker],A55,Transactions[Action],"Sell")&gt;=0,"OK","Negative"))</f>
        <v/>
      </c>
      <c r="E55" t="str">
        <f>IF(A55="","",IF(_xlfn.XLOOKUP(A55,Prices!$A:$A,Prices!$B:$B,"")&gt;0,"OK","Missing Price"))</f>
        <v/>
      </c>
    </row>
    <row r="56" spans="2:5" x14ac:dyDescent="0.2">
      <c r="B56" t="str">
        <f>IF(A56="","",IF(COUNTIF(Asset_Info!$A$2:$A$100,A56)&gt;0,"OK","Missing"))</f>
        <v/>
      </c>
      <c r="C56" t="str">
        <f>IF(A56="","",IF(COUNTIF(Prices!$A$2:$A$100,A56)&gt;0,"OK","Missing"))</f>
        <v/>
      </c>
      <c r="D56" t="str">
        <f>IF(A56="","",IF(SUMIFS(Transactions[Shares],Transactions[Ticker],A56,Transactions[Action],"Buy")-SUMIFS(Transactions[Shares],Transactions[Ticker],A56,Transactions[Action],"Sell")&gt;=0,"OK","Negative"))</f>
        <v/>
      </c>
      <c r="E56" t="str">
        <f>IF(A56="","",IF(_xlfn.XLOOKUP(A56,Prices!$A:$A,Prices!$B:$B,"")&gt;0,"OK","Missing Price"))</f>
        <v/>
      </c>
    </row>
    <row r="57" spans="2:5" x14ac:dyDescent="0.2">
      <c r="B57" t="str">
        <f>IF(A57="","",IF(COUNTIF(Asset_Info!$A$2:$A$100,A57)&gt;0,"OK","Missing"))</f>
        <v/>
      </c>
      <c r="C57" t="str">
        <f>IF(A57="","",IF(COUNTIF(Prices!$A$2:$A$100,A57)&gt;0,"OK","Missing"))</f>
        <v/>
      </c>
      <c r="D57" t="str">
        <f>IF(A57="","",IF(SUMIFS(Transactions[Shares],Transactions[Ticker],A57,Transactions[Action],"Buy")-SUMIFS(Transactions[Shares],Transactions[Ticker],A57,Transactions[Action],"Sell")&gt;=0,"OK","Negative"))</f>
        <v/>
      </c>
      <c r="E57" t="str">
        <f>IF(A57="","",IF(_xlfn.XLOOKUP(A57,Prices!$A:$A,Prices!$B:$B,"")&gt;0,"OK","Missing Price"))</f>
        <v/>
      </c>
    </row>
    <row r="58" spans="2:5" x14ac:dyDescent="0.2">
      <c r="B58" t="str">
        <f>IF(A58="","",IF(COUNTIF(Asset_Info!$A$2:$A$100,A58)&gt;0,"OK","Missing"))</f>
        <v/>
      </c>
      <c r="C58" t="str">
        <f>IF(A58="","",IF(COUNTIF(Prices!$A$2:$A$100,A58)&gt;0,"OK","Missing"))</f>
        <v/>
      </c>
      <c r="D58" t="str">
        <f>IF(A58="","",IF(SUMIFS(Transactions[Shares],Transactions[Ticker],A58,Transactions[Action],"Buy")-SUMIFS(Transactions[Shares],Transactions[Ticker],A58,Transactions[Action],"Sell")&gt;=0,"OK","Negative"))</f>
        <v/>
      </c>
      <c r="E58" t="str">
        <f>IF(A58="","",IF(_xlfn.XLOOKUP(A58,Prices!$A:$A,Prices!$B:$B,"")&gt;0,"OK","Missing Price"))</f>
        <v/>
      </c>
    </row>
    <row r="59" spans="2:5" x14ac:dyDescent="0.2">
      <c r="B59" t="str">
        <f>IF(A59="","",IF(COUNTIF(Asset_Info!$A$2:$A$100,A59)&gt;0,"OK","Missing"))</f>
        <v/>
      </c>
      <c r="C59" t="str">
        <f>IF(A59="","",IF(COUNTIF(Prices!$A$2:$A$100,A59)&gt;0,"OK","Missing"))</f>
        <v/>
      </c>
      <c r="D59" t="str">
        <f>IF(A59="","",IF(SUMIFS(Transactions[Shares],Transactions[Ticker],A59,Transactions[Action],"Buy")-SUMIFS(Transactions[Shares],Transactions[Ticker],A59,Transactions[Action],"Sell")&gt;=0,"OK","Negative"))</f>
        <v/>
      </c>
      <c r="E59" t="str">
        <f>IF(A59="","",IF(_xlfn.XLOOKUP(A59,Prices!$A:$A,Prices!$B:$B,"")&gt;0,"OK","Missing Price"))</f>
        <v/>
      </c>
    </row>
    <row r="60" spans="2:5" x14ac:dyDescent="0.2">
      <c r="B60" t="str">
        <f>IF(A60="","",IF(COUNTIF(Asset_Info!$A$2:$A$100,A60)&gt;0,"OK","Missing"))</f>
        <v/>
      </c>
      <c r="C60" t="str">
        <f>IF(A60="","",IF(COUNTIF(Prices!$A$2:$A$100,A60)&gt;0,"OK","Missing"))</f>
        <v/>
      </c>
      <c r="D60" t="str">
        <f>IF(A60="","",IF(SUMIFS(Transactions[Shares],Transactions[Ticker],A60,Transactions[Action],"Buy")-SUMIFS(Transactions[Shares],Transactions[Ticker],A60,Transactions[Action],"Sell")&gt;=0,"OK","Negative"))</f>
        <v/>
      </c>
      <c r="E60" t="str">
        <f>IF(A60="","",IF(_xlfn.XLOOKUP(A60,Prices!$A:$A,Prices!$B:$B,"")&gt;0,"OK","Missing Price"))</f>
        <v/>
      </c>
    </row>
    <row r="61" spans="2:5" x14ac:dyDescent="0.2">
      <c r="B61" t="str">
        <f>IF(A61="","",IF(COUNTIF(Asset_Info!$A$2:$A$100,A61)&gt;0,"OK","Missing"))</f>
        <v/>
      </c>
      <c r="C61" t="str">
        <f>IF(A61="","",IF(COUNTIF(Prices!$A$2:$A$100,A61)&gt;0,"OK","Missing"))</f>
        <v/>
      </c>
      <c r="D61" t="str">
        <f>IF(A61="","",IF(SUMIFS(Transactions[Shares],Transactions[Ticker],A61,Transactions[Action],"Buy")-SUMIFS(Transactions[Shares],Transactions[Ticker],A61,Transactions[Action],"Sell")&gt;=0,"OK","Negative"))</f>
        <v/>
      </c>
      <c r="E61" t="str">
        <f>IF(A61="","",IF(_xlfn.XLOOKUP(A61,Prices!$A:$A,Prices!$B:$B,"")&gt;0,"OK","Missing Price"))</f>
        <v/>
      </c>
    </row>
    <row r="62" spans="2:5" x14ac:dyDescent="0.2">
      <c r="B62" t="str">
        <f>IF(A62="","",IF(COUNTIF(Asset_Info!$A$2:$A$100,A62)&gt;0,"OK","Missing"))</f>
        <v/>
      </c>
      <c r="C62" t="str">
        <f>IF(A62="","",IF(COUNTIF(Prices!$A$2:$A$100,A62)&gt;0,"OK","Missing"))</f>
        <v/>
      </c>
      <c r="D62" t="str">
        <f>IF(A62="","",IF(SUMIFS(Transactions[Shares],Transactions[Ticker],A62,Transactions[Action],"Buy")-SUMIFS(Transactions[Shares],Transactions[Ticker],A62,Transactions[Action],"Sell")&gt;=0,"OK","Negative"))</f>
        <v/>
      </c>
      <c r="E62" t="str">
        <f>IF(A62="","",IF(_xlfn.XLOOKUP(A62,Prices!$A:$A,Prices!$B:$B,"")&gt;0,"OK","Missing Price"))</f>
        <v/>
      </c>
    </row>
    <row r="63" spans="2:5" x14ac:dyDescent="0.2">
      <c r="B63" t="str">
        <f>IF(A63="","",IF(COUNTIF(Asset_Info!$A$2:$A$100,A63)&gt;0,"OK","Missing"))</f>
        <v/>
      </c>
      <c r="C63" t="str">
        <f>IF(A63="","",IF(COUNTIF(Prices!$A$2:$A$100,A63)&gt;0,"OK","Missing"))</f>
        <v/>
      </c>
      <c r="D63" t="str">
        <f>IF(A63="","",IF(SUMIFS(Transactions[Shares],Transactions[Ticker],A63,Transactions[Action],"Buy")-SUMIFS(Transactions[Shares],Transactions[Ticker],A63,Transactions[Action],"Sell")&gt;=0,"OK","Negative"))</f>
        <v/>
      </c>
      <c r="E63" t="str">
        <f>IF(A63="","",IF(_xlfn.XLOOKUP(A63,Prices!$A:$A,Prices!$B:$B,"")&gt;0,"OK","Missing Price"))</f>
        <v/>
      </c>
    </row>
    <row r="64" spans="2:5" x14ac:dyDescent="0.2">
      <c r="B64" t="str">
        <f>IF(A64="","",IF(COUNTIF(Asset_Info!$A$2:$A$100,A64)&gt;0,"OK","Missing"))</f>
        <v/>
      </c>
      <c r="C64" t="str">
        <f>IF(A64="","",IF(COUNTIF(Prices!$A$2:$A$100,A64)&gt;0,"OK","Missing"))</f>
        <v/>
      </c>
      <c r="D64" t="str">
        <f>IF(A64="","",IF(SUMIFS(Transactions[Shares],Transactions[Ticker],A64,Transactions[Action],"Buy")-SUMIFS(Transactions[Shares],Transactions[Ticker],A64,Transactions[Action],"Sell")&gt;=0,"OK","Negative"))</f>
        <v/>
      </c>
      <c r="E64" t="str">
        <f>IF(A64="","",IF(_xlfn.XLOOKUP(A64,Prices!$A:$A,Prices!$B:$B,"")&gt;0,"OK","Missing Price"))</f>
        <v/>
      </c>
    </row>
    <row r="65" spans="2:5" x14ac:dyDescent="0.2">
      <c r="B65" t="str">
        <f>IF(A65="","",IF(COUNTIF(Asset_Info!$A$2:$A$100,A65)&gt;0,"OK","Missing"))</f>
        <v/>
      </c>
      <c r="C65" t="str">
        <f>IF(A65="","",IF(COUNTIF(Prices!$A$2:$A$100,A65)&gt;0,"OK","Missing"))</f>
        <v/>
      </c>
      <c r="D65" t="str">
        <f>IF(A65="","",IF(SUMIFS(Transactions[Shares],Transactions[Ticker],A65,Transactions[Action],"Buy")-SUMIFS(Transactions[Shares],Transactions[Ticker],A65,Transactions[Action],"Sell")&gt;=0,"OK","Negative"))</f>
        <v/>
      </c>
      <c r="E65" t="str">
        <f>IF(A65="","",IF(_xlfn.XLOOKUP(A65,Prices!$A:$A,Prices!$B:$B,"")&gt;0,"OK","Missing Price"))</f>
        <v/>
      </c>
    </row>
    <row r="66" spans="2:5" x14ac:dyDescent="0.2">
      <c r="B66" t="str">
        <f>IF(A66="","",IF(COUNTIF(Asset_Info!$A$2:$A$100,A66)&gt;0,"OK","Missing"))</f>
        <v/>
      </c>
      <c r="C66" t="str">
        <f>IF(A66="","",IF(COUNTIF(Prices!$A$2:$A$100,A66)&gt;0,"OK","Missing"))</f>
        <v/>
      </c>
      <c r="D66" t="str">
        <f>IF(A66="","",IF(SUMIFS(Transactions[Shares],Transactions[Ticker],A66,Transactions[Action],"Buy")-SUMIFS(Transactions[Shares],Transactions[Ticker],A66,Transactions[Action],"Sell")&gt;=0,"OK","Negative"))</f>
        <v/>
      </c>
      <c r="E66" t="str">
        <f>IF(A66="","",IF(_xlfn.XLOOKUP(A66,Prices!$A:$A,Prices!$B:$B,"")&gt;0,"OK","Missing Price"))</f>
        <v/>
      </c>
    </row>
    <row r="67" spans="2:5" x14ac:dyDescent="0.2">
      <c r="B67" t="str">
        <f>IF(A67="","",IF(COUNTIF(Asset_Info!$A$2:$A$100,A67)&gt;0,"OK","Missing"))</f>
        <v/>
      </c>
      <c r="C67" t="str">
        <f>IF(A67="","",IF(COUNTIF(Prices!$A$2:$A$100,A67)&gt;0,"OK","Missing"))</f>
        <v/>
      </c>
      <c r="D67" t="str">
        <f>IF(A67="","",IF(SUMIFS(Transactions[Shares],Transactions[Ticker],A67,Transactions[Action],"Buy")-SUMIFS(Transactions[Shares],Transactions[Ticker],A67,Transactions[Action],"Sell")&gt;=0,"OK","Negative"))</f>
        <v/>
      </c>
      <c r="E67" t="str">
        <f>IF(A67="","",IF(_xlfn.XLOOKUP(A67,Prices!$A:$A,Prices!$B:$B,"")&gt;0,"OK","Missing Price"))</f>
        <v/>
      </c>
    </row>
    <row r="68" spans="2:5" x14ac:dyDescent="0.2">
      <c r="B68" t="str">
        <f>IF(A68="","",IF(COUNTIF(Asset_Info!$A$2:$A$100,A68)&gt;0,"OK","Missing"))</f>
        <v/>
      </c>
      <c r="C68" t="str">
        <f>IF(A68="","",IF(COUNTIF(Prices!$A$2:$A$100,A68)&gt;0,"OK","Missing"))</f>
        <v/>
      </c>
      <c r="D68" t="str">
        <f>IF(A68="","",IF(SUMIFS(Transactions[Shares],Transactions[Ticker],A68,Transactions[Action],"Buy")-SUMIFS(Transactions[Shares],Transactions[Ticker],A68,Transactions[Action],"Sell")&gt;=0,"OK","Negative"))</f>
        <v/>
      </c>
      <c r="E68" t="str">
        <f>IF(A68="","",IF(_xlfn.XLOOKUP(A68,Prices!$A:$A,Prices!$B:$B,"")&gt;0,"OK","Missing Price"))</f>
        <v/>
      </c>
    </row>
    <row r="69" spans="2:5" x14ac:dyDescent="0.2">
      <c r="B69" t="str">
        <f>IF(A69="","",IF(COUNTIF(Asset_Info!$A$2:$A$100,A69)&gt;0,"OK","Missing"))</f>
        <v/>
      </c>
      <c r="C69" t="str">
        <f>IF(A69="","",IF(COUNTIF(Prices!$A$2:$A$100,A69)&gt;0,"OK","Missing"))</f>
        <v/>
      </c>
      <c r="D69" t="str">
        <f>IF(A69="","",IF(SUMIFS(Transactions[Shares],Transactions[Ticker],A69,Transactions[Action],"Buy")-SUMIFS(Transactions[Shares],Transactions[Ticker],A69,Transactions[Action],"Sell")&gt;=0,"OK","Negative"))</f>
        <v/>
      </c>
      <c r="E69" t="str">
        <f>IF(A69="","",IF(_xlfn.XLOOKUP(A69,Prices!$A:$A,Prices!$B:$B,"")&gt;0,"OK","Missing Price"))</f>
        <v/>
      </c>
    </row>
    <row r="70" spans="2:5" x14ac:dyDescent="0.2">
      <c r="B70" t="str">
        <f>IF(A70="","",IF(COUNTIF(Asset_Info!$A$2:$A$100,A70)&gt;0,"OK","Missing"))</f>
        <v/>
      </c>
      <c r="C70" t="str">
        <f>IF(A70="","",IF(COUNTIF(Prices!$A$2:$A$100,A70)&gt;0,"OK","Missing"))</f>
        <v/>
      </c>
      <c r="D70" t="str">
        <f>IF(A70="","",IF(SUMIFS(Transactions[Shares],Transactions[Ticker],A70,Transactions[Action],"Buy")-SUMIFS(Transactions[Shares],Transactions[Ticker],A70,Transactions[Action],"Sell")&gt;=0,"OK","Negative"))</f>
        <v/>
      </c>
      <c r="E70" t="str">
        <f>IF(A70="","",IF(_xlfn.XLOOKUP(A70,Prices!$A:$A,Prices!$B:$B,"")&gt;0,"OK","Missing Price"))</f>
        <v/>
      </c>
    </row>
    <row r="71" spans="2:5" x14ac:dyDescent="0.2">
      <c r="B71" t="str">
        <f>IF(A71="","",IF(COUNTIF(Asset_Info!$A$2:$A$100,A71)&gt;0,"OK","Missing"))</f>
        <v/>
      </c>
      <c r="C71" t="str">
        <f>IF(A71="","",IF(COUNTIF(Prices!$A$2:$A$100,A71)&gt;0,"OK","Missing"))</f>
        <v/>
      </c>
      <c r="D71" t="str">
        <f>IF(A71="","",IF(SUMIFS(Transactions[Shares],Transactions[Ticker],A71,Transactions[Action],"Buy")-SUMIFS(Transactions[Shares],Transactions[Ticker],A71,Transactions[Action],"Sell")&gt;=0,"OK","Negative"))</f>
        <v/>
      </c>
      <c r="E71" t="str">
        <f>IF(A71="","",IF(_xlfn.XLOOKUP(A71,Prices!$A:$A,Prices!$B:$B,"")&gt;0,"OK","Missing Price"))</f>
        <v/>
      </c>
    </row>
    <row r="72" spans="2:5" x14ac:dyDescent="0.2">
      <c r="B72" t="str">
        <f>IF(A72="","",IF(COUNTIF(Asset_Info!$A$2:$A$100,A72)&gt;0,"OK","Missing"))</f>
        <v/>
      </c>
      <c r="C72" t="str">
        <f>IF(A72="","",IF(COUNTIF(Prices!$A$2:$A$100,A72)&gt;0,"OK","Missing"))</f>
        <v/>
      </c>
      <c r="D72" t="str">
        <f>IF(A72="","",IF(SUMIFS(Transactions[Shares],Transactions[Ticker],A72,Transactions[Action],"Buy")-SUMIFS(Transactions[Shares],Transactions[Ticker],A72,Transactions[Action],"Sell")&gt;=0,"OK","Negative"))</f>
        <v/>
      </c>
      <c r="E72" t="str">
        <f>IF(A72="","",IF(_xlfn.XLOOKUP(A72,Prices!$A:$A,Prices!$B:$B,"")&gt;0,"OK","Missing Price"))</f>
        <v/>
      </c>
    </row>
    <row r="73" spans="2:5" x14ac:dyDescent="0.2">
      <c r="B73" t="str">
        <f>IF(A73="","",IF(COUNTIF(Asset_Info!$A$2:$A$100,A73)&gt;0,"OK","Missing"))</f>
        <v/>
      </c>
      <c r="C73" t="str">
        <f>IF(A73="","",IF(COUNTIF(Prices!$A$2:$A$100,A73)&gt;0,"OK","Missing"))</f>
        <v/>
      </c>
      <c r="D73" t="str">
        <f>IF(A73="","",IF(SUMIFS(Transactions[Shares],Transactions[Ticker],A73,Transactions[Action],"Buy")-SUMIFS(Transactions[Shares],Transactions[Ticker],A73,Transactions[Action],"Sell")&gt;=0,"OK","Negative"))</f>
        <v/>
      </c>
      <c r="E73" t="str">
        <f>IF(A73="","",IF(_xlfn.XLOOKUP(A73,Prices!$A:$A,Prices!$B:$B,"")&gt;0,"OK","Missing Price"))</f>
        <v/>
      </c>
    </row>
    <row r="74" spans="2:5" x14ac:dyDescent="0.2">
      <c r="B74" t="str">
        <f>IF(A74="","",IF(COUNTIF(Asset_Info!$A$2:$A$100,A74)&gt;0,"OK","Missing"))</f>
        <v/>
      </c>
      <c r="C74" t="str">
        <f>IF(A74="","",IF(COUNTIF(Prices!$A$2:$A$100,A74)&gt;0,"OK","Missing"))</f>
        <v/>
      </c>
      <c r="D74" t="str">
        <f>IF(A74="","",IF(SUMIFS(Transactions[Shares],Transactions[Ticker],A74,Transactions[Action],"Buy")-SUMIFS(Transactions[Shares],Transactions[Ticker],A74,Transactions[Action],"Sell")&gt;=0,"OK","Negative"))</f>
        <v/>
      </c>
      <c r="E74" t="str">
        <f>IF(A74="","",IF(_xlfn.XLOOKUP(A74,Prices!$A:$A,Prices!$B:$B,"")&gt;0,"OK","Missing Price"))</f>
        <v/>
      </c>
    </row>
    <row r="75" spans="2:5" x14ac:dyDescent="0.2">
      <c r="B75" t="str">
        <f>IF(A75="","",IF(COUNTIF(Asset_Info!$A$2:$A$100,A75)&gt;0,"OK","Missing"))</f>
        <v/>
      </c>
      <c r="C75" t="str">
        <f>IF(A75="","",IF(COUNTIF(Prices!$A$2:$A$100,A75)&gt;0,"OK","Missing"))</f>
        <v/>
      </c>
      <c r="D75" t="str">
        <f>IF(A75="","",IF(SUMIFS(Transactions[Shares],Transactions[Ticker],A75,Transactions[Action],"Buy")-SUMIFS(Transactions[Shares],Transactions[Ticker],A75,Transactions[Action],"Sell")&gt;=0,"OK","Negative"))</f>
        <v/>
      </c>
      <c r="E75" t="str">
        <f>IF(A75="","",IF(_xlfn.XLOOKUP(A75,Prices!$A:$A,Prices!$B:$B,"")&gt;0,"OK","Missing Price"))</f>
        <v/>
      </c>
    </row>
    <row r="76" spans="2:5" x14ac:dyDescent="0.2">
      <c r="B76" t="str">
        <f>IF(A76="","",IF(COUNTIF(Asset_Info!$A$2:$A$100,A76)&gt;0,"OK","Missing"))</f>
        <v/>
      </c>
      <c r="C76" t="str">
        <f>IF(A76="","",IF(COUNTIF(Prices!$A$2:$A$100,A76)&gt;0,"OK","Missing"))</f>
        <v/>
      </c>
      <c r="D76" t="str">
        <f>IF(A76="","",IF(SUMIFS(Transactions[Shares],Transactions[Ticker],A76,Transactions[Action],"Buy")-SUMIFS(Transactions[Shares],Transactions[Ticker],A76,Transactions[Action],"Sell")&gt;=0,"OK","Negative"))</f>
        <v/>
      </c>
      <c r="E76" t="str">
        <f>IF(A76="","",IF(_xlfn.XLOOKUP(A76,Prices!$A:$A,Prices!$B:$B,"")&gt;0,"OK","Missing Price"))</f>
        <v/>
      </c>
    </row>
    <row r="77" spans="2:5" x14ac:dyDescent="0.2">
      <c r="B77" t="str">
        <f>IF(A77="","",IF(COUNTIF(Asset_Info!$A$2:$A$100,A77)&gt;0,"OK","Missing"))</f>
        <v/>
      </c>
      <c r="C77" t="str">
        <f>IF(A77="","",IF(COUNTIF(Prices!$A$2:$A$100,A77)&gt;0,"OK","Missing"))</f>
        <v/>
      </c>
      <c r="D77" t="str">
        <f>IF(A77="","",IF(SUMIFS(Transactions[Shares],Transactions[Ticker],A77,Transactions[Action],"Buy")-SUMIFS(Transactions[Shares],Transactions[Ticker],A77,Transactions[Action],"Sell")&gt;=0,"OK","Negative"))</f>
        <v/>
      </c>
      <c r="E77" t="str">
        <f>IF(A77="","",IF(_xlfn.XLOOKUP(A77,Prices!$A:$A,Prices!$B:$B,"")&gt;0,"OK","Missing Price"))</f>
        <v/>
      </c>
    </row>
    <row r="78" spans="2:5" x14ac:dyDescent="0.2">
      <c r="B78" t="str">
        <f>IF(A78="","",IF(COUNTIF(Asset_Info!$A$2:$A$100,A78)&gt;0,"OK","Missing"))</f>
        <v/>
      </c>
      <c r="C78" t="str">
        <f>IF(A78="","",IF(COUNTIF(Prices!$A$2:$A$100,A78)&gt;0,"OK","Missing"))</f>
        <v/>
      </c>
      <c r="D78" t="str">
        <f>IF(A78="","",IF(SUMIFS(Transactions[Shares],Transactions[Ticker],A78,Transactions[Action],"Buy")-SUMIFS(Transactions[Shares],Transactions[Ticker],A78,Transactions[Action],"Sell")&gt;=0,"OK","Negative"))</f>
        <v/>
      </c>
      <c r="E78" t="str">
        <f>IF(A78="","",IF(_xlfn.XLOOKUP(A78,Prices!$A:$A,Prices!$B:$B,"")&gt;0,"OK","Missing Price"))</f>
        <v/>
      </c>
    </row>
    <row r="79" spans="2:5" x14ac:dyDescent="0.2">
      <c r="B79" t="str">
        <f>IF(A79="","",IF(COUNTIF(Asset_Info!$A$2:$A$100,A79)&gt;0,"OK","Missing"))</f>
        <v/>
      </c>
      <c r="C79" t="str">
        <f>IF(A79="","",IF(COUNTIF(Prices!$A$2:$A$100,A79)&gt;0,"OK","Missing"))</f>
        <v/>
      </c>
      <c r="D79" t="str">
        <f>IF(A79="","",IF(SUMIFS(Transactions[Shares],Transactions[Ticker],A79,Transactions[Action],"Buy")-SUMIFS(Transactions[Shares],Transactions[Ticker],A79,Transactions[Action],"Sell")&gt;=0,"OK","Negative"))</f>
        <v/>
      </c>
      <c r="E79" t="str">
        <f>IF(A79="","",IF(_xlfn.XLOOKUP(A79,Prices!$A:$A,Prices!$B:$B,"")&gt;0,"OK","Missing Price"))</f>
        <v/>
      </c>
    </row>
    <row r="80" spans="2:5" x14ac:dyDescent="0.2">
      <c r="B80" t="str">
        <f>IF(A80="","",IF(COUNTIF(Asset_Info!$A$2:$A$100,A80)&gt;0,"OK","Missing"))</f>
        <v/>
      </c>
      <c r="C80" t="str">
        <f>IF(A80="","",IF(COUNTIF(Prices!$A$2:$A$100,A80)&gt;0,"OK","Missing"))</f>
        <v/>
      </c>
      <c r="D80" t="str">
        <f>IF(A80="","",IF(SUMIFS(Transactions[Shares],Transactions[Ticker],A80,Transactions[Action],"Buy")-SUMIFS(Transactions[Shares],Transactions[Ticker],A80,Transactions[Action],"Sell")&gt;=0,"OK","Negative"))</f>
        <v/>
      </c>
      <c r="E80" t="str">
        <f>IF(A80="","",IF(_xlfn.XLOOKUP(A80,Prices!$A:$A,Prices!$B:$B,"")&gt;0,"OK","Missing Price"))</f>
        <v/>
      </c>
    </row>
    <row r="81" spans="2:5" x14ac:dyDescent="0.2">
      <c r="B81" t="str">
        <f>IF(A81="","",IF(COUNTIF(Asset_Info!$A$2:$A$100,A81)&gt;0,"OK","Missing"))</f>
        <v/>
      </c>
      <c r="C81" t="str">
        <f>IF(A81="","",IF(COUNTIF(Prices!$A$2:$A$100,A81)&gt;0,"OK","Missing"))</f>
        <v/>
      </c>
      <c r="D81" t="str">
        <f>IF(A81="","",IF(SUMIFS(Transactions[Shares],Transactions[Ticker],A81,Transactions[Action],"Buy")-SUMIFS(Transactions[Shares],Transactions[Ticker],A81,Transactions[Action],"Sell")&gt;=0,"OK","Negative"))</f>
        <v/>
      </c>
      <c r="E81" t="str">
        <f>IF(A81="","",IF(_xlfn.XLOOKUP(A81,Prices!$A:$A,Prices!$B:$B,"")&gt;0,"OK","Missing Price"))</f>
        <v/>
      </c>
    </row>
    <row r="82" spans="2:5" x14ac:dyDescent="0.2">
      <c r="B82" t="str">
        <f>IF(A82="","",IF(COUNTIF(Asset_Info!$A$2:$A$100,A82)&gt;0,"OK","Missing"))</f>
        <v/>
      </c>
      <c r="C82" t="str">
        <f>IF(A82="","",IF(COUNTIF(Prices!$A$2:$A$100,A82)&gt;0,"OK","Missing"))</f>
        <v/>
      </c>
      <c r="D82" t="str">
        <f>IF(A82="","",IF(SUMIFS(Transactions[Shares],Transactions[Ticker],A82,Transactions[Action],"Buy")-SUMIFS(Transactions[Shares],Transactions[Ticker],A82,Transactions[Action],"Sell")&gt;=0,"OK","Negative"))</f>
        <v/>
      </c>
      <c r="E82" t="str">
        <f>IF(A82="","",IF(_xlfn.XLOOKUP(A82,Prices!$A:$A,Prices!$B:$B,"")&gt;0,"OK","Missing Price"))</f>
        <v/>
      </c>
    </row>
    <row r="83" spans="2:5" x14ac:dyDescent="0.2">
      <c r="B83" t="str">
        <f>IF(A83="","",IF(COUNTIF(Asset_Info!$A$2:$A$100,A83)&gt;0,"OK","Missing"))</f>
        <v/>
      </c>
      <c r="C83" t="str">
        <f>IF(A83="","",IF(COUNTIF(Prices!$A$2:$A$100,A83)&gt;0,"OK","Missing"))</f>
        <v/>
      </c>
      <c r="D83" t="str">
        <f>IF(A83="","",IF(SUMIFS(Transactions[Shares],Transactions[Ticker],A83,Transactions[Action],"Buy")-SUMIFS(Transactions[Shares],Transactions[Ticker],A83,Transactions[Action],"Sell")&gt;=0,"OK","Negative"))</f>
        <v/>
      </c>
      <c r="E83" t="str">
        <f>IF(A83="","",IF(_xlfn.XLOOKUP(A83,Prices!$A:$A,Prices!$B:$B,"")&gt;0,"OK","Missing Price"))</f>
        <v/>
      </c>
    </row>
    <row r="84" spans="2:5" x14ac:dyDescent="0.2">
      <c r="B84" t="str">
        <f>IF(A84="","",IF(COUNTIF(Asset_Info!$A$2:$A$100,A84)&gt;0,"OK","Missing"))</f>
        <v/>
      </c>
      <c r="C84" t="str">
        <f>IF(A84="","",IF(COUNTIF(Prices!$A$2:$A$100,A84)&gt;0,"OK","Missing"))</f>
        <v/>
      </c>
      <c r="D84" t="str">
        <f>IF(A84="","",IF(SUMIFS(Transactions[Shares],Transactions[Ticker],A84,Transactions[Action],"Buy")-SUMIFS(Transactions[Shares],Transactions[Ticker],A84,Transactions[Action],"Sell")&gt;=0,"OK","Negative"))</f>
        <v/>
      </c>
      <c r="E84" t="str">
        <f>IF(A84="","",IF(_xlfn.XLOOKUP(A84,Prices!$A:$A,Prices!$B:$B,"")&gt;0,"OK","Missing Price"))</f>
        <v/>
      </c>
    </row>
    <row r="85" spans="2:5" x14ac:dyDescent="0.2">
      <c r="B85" t="str">
        <f>IF(A85="","",IF(COUNTIF(Asset_Info!$A$2:$A$100,A85)&gt;0,"OK","Missing"))</f>
        <v/>
      </c>
      <c r="C85" t="str">
        <f>IF(A85="","",IF(COUNTIF(Prices!$A$2:$A$100,A85)&gt;0,"OK","Missing"))</f>
        <v/>
      </c>
      <c r="D85" t="str">
        <f>IF(A85="","",IF(SUMIFS(Transactions[Shares],Transactions[Ticker],A85,Transactions[Action],"Buy")-SUMIFS(Transactions[Shares],Transactions[Ticker],A85,Transactions[Action],"Sell")&gt;=0,"OK","Negative"))</f>
        <v/>
      </c>
      <c r="E85" t="str">
        <f>IF(A85="","",IF(_xlfn.XLOOKUP(A85,Prices!$A:$A,Prices!$B:$B,"")&gt;0,"OK","Missing Price"))</f>
        <v/>
      </c>
    </row>
    <row r="86" spans="2:5" x14ac:dyDescent="0.2">
      <c r="B86" t="str">
        <f>IF(A86="","",IF(COUNTIF(Asset_Info!$A$2:$A$100,A86)&gt;0,"OK","Missing"))</f>
        <v/>
      </c>
      <c r="C86" t="str">
        <f>IF(A86="","",IF(COUNTIF(Prices!$A$2:$A$100,A86)&gt;0,"OK","Missing"))</f>
        <v/>
      </c>
      <c r="D86" t="str">
        <f>IF(A86="","",IF(SUMIFS(Transactions[Shares],Transactions[Ticker],A86,Transactions[Action],"Buy")-SUMIFS(Transactions[Shares],Transactions[Ticker],A86,Transactions[Action],"Sell")&gt;=0,"OK","Negative"))</f>
        <v/>
      </c>
      <c r="E86" t="str">
        <f>IF(A86="","",IF(_xlfn.XLOOKUP(A86,Prices!$A:$A,Prices!$B:$B,"")&gt;0,"OK","Missing Price"))</f>
        <v/>
      </c>
    </row>
    <row r="87" spans="2:5" x14ac:dyDescent="0.2">
      <c r="B87" t="str">
        <f>IF(A87="","",IF(COUNTIF(Asset_Info!$A$2:$A$100,A87)&gt;0,"OK","Missing"))</f>
        <v/>
      </c>
      <c r="C87" t="str">
        <f>IF(A87="","",IF(COUNTIF(Prices!$A$2:$A$100,A87)&gt;0,"OK","Missing"))</f>
        <v/>
      </c>
      <c r="D87" t="str">
        <f>IF(A87="","",IF(SUMIFS(Transactions[Shares],Transactions[Ticker],A87,Transactions[Action],"Buy")-SUMIFS(Transactions[Shares],Transactions[Ticker],A87,Transactions[Action],"Sell")&gt;=0,"OK","Negative"))</f>
        <v/>
      </c>
      <c r="E87" t="str">
        <f>IF(A87="","",IF(_xlfn.XLOOKUP(A87,Prices!$A:$A,Prices!$B:$B,"")&gt;0,"OK","Missing Price"))</f>
        <v/>
      </c>
    </row>
    <row r="88" spans="2:5" x14ac:dyDescent="0.2">
      <c r="B88" t="str">
        <f>IF(A88="","",IF(COUNTIF(Asset_Info!$A$2:$A$100,A88)&gt;0,"OK","Missing"))</f>
        <v/>
      </c>
      <c r="C88" t="str">
        <f>IF(A88="","",IF(COUNTIF(Prices!$A$2:$A$100,A88)&gt;0,"OK","Missing"))</f>
        <v/>
      </c>
      <c r="D88" t="str">
        <f>IF(A88="","",IF(SUMIFS(Transactions[Shares],Transactions[Ticker],A88,Transactions[Action],"Buy")-SUMIFS(Transactions[Shares],Transactions[Ticker],A88,Transactions[Action],"Sell")&gt;=0,"OK","Negative"))</f>
        <v/>
      </c>
      <c r="E88" t="str">
        <f>IF(A88="","",IF(_xlfn.XLOOKUP(A88,Prices!$A:$A,Prices!$B:$B,"")&gt;0,"OK","Missing Price"))</f>
        <v/>
      </c>
    </row>
    <row r="89" spans="2:5" x14ac:dyDescent="0.2">
      <c r="B89" t="str">
        <f>IF(A89="","",IF(COUNTIF(Asset_Info!$A$2:$A$100,A89)&gt;0,"OK","Missing"))</f>
        <v/>
      </c>
      <c r="C89" t="str">
        <f>IF(A89="","",IF(COUNTIF(Prices!$A$2:$A$100,A89)&gt;0,"OK","Missing"))</f>
        <v/>
      </c>
      <c r="D89" t="str">
        <f>IF(A89="","",IF(SUMIFS(Transactions[Shares],Transactions[Ticker],A89,Transactions[Action],"Buy")-SUMIFS(Transactions[Shares],Transactions[Ticker],A89,Transactions[Action],"Sell")&gt;=0,"OK","Negative"))</f>
        <v/>
      </c>
      <c r="E89" t="str">
        <f>IF(A89="","",IF(_xlfn.XLOOKUP(A89,Prices!$A:$A,Prices!$B:$B,"")&gt;0,"OK","Missing Price"))</f>
        <v/>
      </c>
    </row>
    <row r="90" spans="2:5" x14ac:dyDescent="0.2">
      <c r="B90" t="str">
        <f>IF(A90="","",IF(COUNTIF(Asset_Info!$A$2:$A$100,A90)&gt;0,"OK","Missing"))</f>
        <v/>
      </c>
      <c r="C90" t="str">
        <f>IF(A90="","",IF(COUNTIF(Prices!$A$2:$A$100,A90)&gt;0,"OK","Missing"))</f>
        <v/>
      </c>
      <c r="D90" t="str">
        <f>IF(A90="","",IF(SUMIFS(Transactions[Shares],Transactions[Ticker],A90,Transactions[Action],"Buy")-SUMIFS(Transactions[Shares],Transactions[Ticker],A90,Transactions[Action],"Sell")&gt;=0,"OK","Negative"))</f>
        <v/>
      </c>
      <c r="E90" t="str">
        <f>IF(A90="","",IF(_xlfn.XLOOKUP(A90,Prices!$A:$A,Prices!$B:$B,"")&gt;0,"OK","Missing Price"))</f>
        <v/>
      </c>
    </row>
    <row r="91" spans="2:5" x14ac:dyDescent="0.2">
      <c r="B91" t="str">
        <f>IF(A91="","",IF(COUNTIF(Asset_Info!$A$2:$A$100,A91)&gt;0,"OK","Missing"))</f>
        <v/>
      </c>
      <c r="C91" t="str">
        <f>IF(A91="","",IF(COUNTIF(Prices!$A$2:$A$100,A91)&gt;0,"OK","Missing"))</f>
        <v/>
      </c>
      <c r="D91" t="str">
        <f>IF(A91="","",IF(SUMIFS(Transactions[Shares],Transactions[Ticker],A91,Transactions[Action],"Buy")-SUMIFS(Transactions[Shares],Transactions[Ticker],A91,Transactions[Action],"Sell")&gt;=0,"OK","Negative"))</f>
        <v/>
      </c>
      <c r="E91" t="str">
        <f>IF(A91="","",IF(_xlfn.XLOOKUP(A91,Prices!$A:$A,Prices!$B:$B,"")&gt;0,"OK","Missing Price"))</f>
        <v/>
      </c>
    </row>
    <row r="92" spans="2:5" x14ac:dyDescent="0.2">
      <c r="B92" t="str">
        <f>IF(A92="","",IF(COUNTIF(Asset_Info!$A$2:$A$100,A92)&gt;0,"OK","Missing"))</f>
        <v/>
      </c>
      <c r="C92" t="str">
        <f>IF(A92="","",IF(COUNTIF(Prices!$A$2:$A$100,A92)&gt;0,"OK","Missing"))</f>
        <v/>
      </c>
      <c r="D92" t="str">
        <f>IF(A92="","",IF(SUMIFS(Transactions[Shares],Transactions[Ticker],A92,Transactions[Action],"Buy")-SUMIFS(Transactions[Shares],Transactions[Ticker],A92,Transactions[Action],"Sell")&gt;=0,"OK","Negative"))</f>
        <v/>
      </c>
      <c r="E92" t="str">
        <f>IF(A92="","",IF(_xlfn.XLOOKUP(A92,Prices!$A:$A,Prices!$B:$B,"")&gt;0,"OK","Missing Price"))</f>
        <v/>
      </c>
    </row>
    <row r="93" spans="2:5" x14ac:dyDescent="0.2">
      <c r="B93" t="str">
        <f>IF(A93="","",IF(COUNTIF(Asset_Info!$A$2:$A$100,A93)&gt;0,"OK","Missing"))</f>
        <v/>
      </c>
      <c r="C93" t="str">
        <f>IF(A93="","",IF(COUNTIF(Prices!$A$2:$A$100,A93)&gt;0,"OK","Missing"))</f>
        <v/>
      </c>
      <c r="D93" t="str">
        <f>IF(A93="","",IF(SUMIFS(Transactions[Shares],Transactions[Ticker],A93,Transactions[Action],"Buy")-SUMIFS(Transactions[Shares],Transactions[Ticker],A93,Transactions[Action],"Sell")&gt;=0,"OK","Negative"))</f>
        <v/>
      </c>
      <c r="E93" t="str">
        <f>IF(A93="","",IF(_xlfn.XLOOKUP(A93,Prices!$A:$A,Prices!$B:$B,"")&gt;0,"OK","Missing Price"))</f>
        <v/>
      </c>
    </row>
    <row r="94" spans="2:5" x14ac:dyDescent="0.2">
      <c r="B94" t="str">
        <f>IF(A94="","",IF(COUNTIF(Asset_Info!$A$2:$A$100,A94)&gt;0,"OK","Missing"))</f>
        <v/>
      </c>
      <c r="C94" t="str">
        <f>IF(A94="","",IF(COUNTIF(Prices!$A$2:$A$100,A94)&gt;0,"OK","Missing"))</f>
        <v/>
      </c>
      <c r="D94" t="str">
        <f>IF(A94="","",IF(SUMIFS(Transactions[Shares],Transactions[Ticker],A94,Transactions[Action],"Buy")-SUMIFS(Transactions[Shares],Transactions[Ticker],A94,Transactions[Action],"Sell")&gt;=0,"OK","Negative"))</f>
        <v/>
      </c>
      <c r="E94" t="str">
        <f>IF(A94="","",IF(_xlfn.XLOOKUP(A94,Prices!$A:$A,Prices!$B:$B,"")&gt;0,"OK","Missing Price"))</f>
        <v/>
      </c>
    </row>
    <row r="95" spans="2:5" x14ac:dyDescent="0.2">
      <c r="B95" t="str">
        <f>IF(A95="","",IF(COUNTIF(Asset_Info!$A$2:$A$100,A95)&gt;0,"OK","Missing"))</f>
        <v/>
      </c>
      <c r="C95" t="str">
        <f>IF(A95="","",IF(COUNTIF(Prices!$A$2:$A$100,A95)&gt;0,"OK","Missing"))</f>
        <v/>
      </c>
      <c r="D95" t="str">
        <f>IF(A95="","",IF(SUMIFS(Transactions[Shares],Transactions[Ticker],A95,Transactions[Action],"Buy")-SUMIFS(Transactions[Shares],Transactions[Ticker],A95,Transactions[Action],"Sell")&gt;=0,"OK","Negative"))</f>
        <v/>
      </c>
      <c r="E95" t="str">
        <f>IF(A95="","",IF(_xlfn.XLOOKUP(A95,Prices!$A:$A,Prices!$B:$B,"")&gt;0,"OK","Missing Price"))</f>
        <v/>
      </c>
    </row>
    <row r="96" spans="2:5" x14ac:dyDescent="0.2">
      <c r="B96" t="str">
        <f>IF(A96="","",IF(COUNTIF(Asset_Info!$A$2:$A$100,A96)&gt;0,"OK","Missing"))</f>
        <v/>
      </c>
      <c r="C96" t="str">
        <f>IF(A96="","",IF(COUNTIF(Prices!$A$2:$A$100,A96)&gt;0,"OK","Missing"))</f>
        <v/>
      </c>
      <c r="D96" t="str">
        <f>IF(A96="","",IF(SUMIFS(Transactions[Shares],Transactions[Ticker],A96,Transactions[Action],"Buy")-SUMIFS(Transactions[Shares],Transactions[Ticker],A96,Transactions[Action],"Sell")&gt;=0,"OK","Negative"))</f>
        <v/>
      </c>
      <c r="E96" t="str">
        <f>IF(A96="","",IF(_xlfn.XLOOKUP(A96,Prices!$A:$A,Prices!$B:$B,"")&gt;0,"OK","Missing Price"))</f>
        <v/>
      </c>
    </row>
    <row r="97" spans="2:5" x14ac:dyDescent="0.2">
      <c r="B97" t="str">
        <f>IF(A97="","",IF(COUNTIF(Asset_Info!$A$2:$A$100,A97)&gt;0,"OK","Missing"))</f>
        <v/>
      </c>
      <c r="C97" t="str">
        <f>IF(A97="","",IF(COUNTIF(Prices!$A$2:$A$100,A97)&gt;0,"OK","Missing"))</f>
        <v/>
      </c>
      <c r="D97" t="str">
        <f>IF(A97="","",IF(SUMIFS(Transactions[Shares],Transactions[Ticker],A97,Transactions[Action],"Buy")-SUMIFS(Transactions[Shares],Transactions[Ticker],A97,Transactions[Action],"Sell")&gt;=0,"OK","Negative"))</f>
        <v/>
      </c>
      <c r="E97" t="str">
        <f>IF(A97="","",IF(_xlfn.XLOOKUP(A97,Prices!$A:$A,Prices!$B:$B,"")&gt;0,"OK","Missing Price"))</f>
        <v/>
      </c>
    </row>
    <row r="98" spans="2:5" x14ac:dyDescent="0.2">
      <c r="B98" t="str">
        <f>IF(A98="","",IF(COUNTIF(Asset_Info!$A$2:$A$100,A98)&gt;0,"OK","Missing"))</f>
        <v/>
      </c>
      <c r="C98" t="str">
        <f>IF(A98="","",IF(COUNTIF(Prices!$A$2:$A$100,A98)&gt;0,"OK","Missing"))</f>
        <v/>
      </c>
      <c r="D98" t="str">
        <f>IF(A98="","",IF(SUMIFS(Transactions[Shares],Transactions[Ticker],A98,Transactions[Action],"Buy")-SUMIFS(Transactions[Shares],Transactions[Ticker],A98,Transactions[Action],"Sell")&gt;=0,"OK","Negative"))</f>
        <v/>
      </c>
      <c r="E98" t="str">
        <f>IF(A98="","",IF(_xlfn.XLOOKUP(A98,Prices!$A:$A,Prices!$B:$B,"")&gt;0,"OK","Missing Price"))</f>
        <v/>
      </c>
    </row>
    <row r="99" spans="2:5" x14ac:dyDescent="0.2">
      <c r="B99" t="str">
        <f>IF(A99="","",IF(COUNTIF(Asset_Info!$A$2:$A$100,A99)&gt;0,"OK","Missing"))</f>
        <v/>
      </c>
      <c r="C99" t="str">
        <f>IF(A99="","",IF(COUNTIF(Prices!$A$2:$A$100,A99)&gt;0,"OK","Missing"))</f>
        <v/>
      </c>
      <c r="D99" t="str">
        <f>IF(A99="","",IF(SUMIFS(Transactions[Shares],Transactions[Ticker],A99,Transactions[Action],"Buy")-SUMIFS(Transactions[Shares],Transactions[Ticker],A99,Transactions[Action],"Sell")&gt;=0,"OK","Negative"))</f>
        <v/>
      </c>
      <c r="E99" t="str">
        <f>IF(A99="","",IF(_xlfn.XLOOKUP(A99,Prices!$A:$A,Prices!$B:$B,"")&gt;0,"OK","Missing Price"))</f>
        <v/>
      </c>
    </row>
    <row r="100" spans="2:5" x14ac:dyDescent="0.2">
      <c r="B100" t="str">
        <f>IF(A100="","",IF(COUNTIF(Asset_Info!$A$2:$A$100,A100)&gt;0,"OK","Missing"))</f>
        <v/>
      </c>
      <c r="C100" t="str">
        <f>IF(A100="","",IF(COUNTIF(Prices!$A$2:$A$100,A100)&gt;0,"OK","Missing"))</f>
        <v/>
      </c>
      <c r="D100" t="str">
        <f>IF(A100="","",IF(SUMIFS(Transactions[Shares],Transactions[Ticker],A100,Transactions[Action],"Buy")-SUMIFS(Transactions[Shares],Transactions[Ticker],A100,Transactions[Action],"Sell")&gt;=0,"OK","Negative"))</f>
        <v/>
      </c>
      <c r="E100" t="str">
        <f>IF(A100="","",IF(_xlfn.XLOOKUP(A100,Prices!$A:$A,Prices!$B:$B,"")&gt;0,"OK","Missing Price"))</f>
        <v/>
      </c>
    </row>
  </sheetData>
  <conditionalFormatting sqref="B2:D100">
    <cfRule type="containsText" dxfId="7" priority="3" operator="containsText" text="OK">
      <formula>NOT(ISERROR(SEARCH("OK",B2)))</formula>
    </cfRule>
    <cfRule type="containsText" dxfId="6" priority="4" operator="containsText" text="Negative">
      <formula>NOT(ISERROR(SEARCH("Negative",B2)))</formula>
    </cfRule>
    <cfRule type="containsText" dxfId="5" priority="5" operator="containsText" text="Missing">
      <formula>NOT(ISERROR(SEARCH("Missing",B2)))</formula>
    </cfRule>
  </conditionalFormatting>
  <conditionalFormatting sqref="E2:E1048576">
    <cfRule type="containsText" dxfId="4" priority="1" operator="containsText" text="OK">
      <formula>NOT(ISERROR(SEARCH("OK",E2)))</formula>
    </cfRule>
    <cfRule type="containsText" dxfId="3" priority="2" operator="containsText" text="Missing Price">
      <formula>NOT(ISERROR(SEARCH("Missing Price",E2)))</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AB863C-5EE3-DE4A-9DCB-C574A7804067}">
  <dimension ref="A1:H18"/>
  <sheetViews>
    <sheetView workbookViewId="0">
      <selection activeCell="I29" sqref="I29"/>
    </sheetView>
  </sheetViews>
  <sheetFormatPr baseColWidth="10" defaultRowHeight="16" x14ac:dyDescent="0.2"/>
  <cols>
    <col min="1" max="1" width="16.83203125" bestFit="1" customWidth="1"/>
    <col min="2" max="2" width="19.5" style="21" bestFit="1" customWidth="1"/>
    <col min="4" max="4" width="16.83203125" bestFit="1" customWidth="1"/>
    <col min="5" max="5" width="21.6640625" style="21" bestFit="1" customWidth="1"/>
    <col min="6" max="6" width="16.83203125" bestFit="1" customWidth="1"/>
    <col min="7" max="7" width="16.83203125" style="21" bestFit="1" customWidth="1"/>
    <col min="8" max="8" width="19.5" style="21" bestFit="1" customWidth="1"/>
  </cols>
  <sheetData>
    <row r="1" spans="1:8" x14ac:dyDescent="0.2">
      <c r="A1" s="2" t="s">
        <v>27</v>
      </c>
      <c r="B1" t="s">
        <v>28</v>
      </c>
      <c r="D1" s="2" t="s">
        <v>27</v>
      </c>
      <c r="E1" t="s">
        <v>45</v>
      </c>
      <c r="G1" s="2" t="s">
        <v>27</v>
      </c>
      <c r="H1" t="s">
        <v>28</v>
      </c>
    </row>
    <row r="2" spans="1:8" x14ac:dyDescent="0.2">
      <c r="A2" s="3" t="s">
        <v>18</v>
      </c>
      <c r="B2" s="31">
        <v>1441.3</v>
      </c>
      <c r="D2" s="3" t="s">
        <v>7</v>
      </c>
      <c r="E2" s="31">
        <v>680.98</v>
      </c>
      <c r="G2" s="3" t="s">
        <v>7</v>
      </c>
      <c r="H2" s="31">
        <v>1960.98</v>
      </c>
    </row>
    <row r="3" spans="1:8" x14ac:dyDescent="0.2">
      <c r="A3" s="3" t="s">
        <v>20</v>
      </c>
      <c r="B3" s="31">
        <v>1269.54</v>
      </c>
      <c r="D3" s="3" t="s">
        <v>48</v>
      </c>
      <c r="E3" s="31">
        <v>3413</v>
      </c>
      <c r="G3" s="3" t="s">
        <v>48</v>
      </c>
      <c r="H3" s="31">
        <v>13413</v>
      </c>
    </row>
    <row r="4" spans="1:8" x14ac:dyDescent="0.2">
      <c r="A4" s="3" t="s">
        <v>36</v>
      </c>
      <c r="B4" s="31">
        <v>6249.4000000000005</v>
      </c>
      <c r="D4" s="3" t="s">
        <v>19</v>
      </c>
      <c r="E4" s="31">
        <v>669.54</v>
      </c>
      <c r="G4" s="3" t="s">
        <v>19</v>
      </c>
      <c r="H4" s="31">
        <v>1269.54</v>
      </c>
    </row>
    <row r="5" spans="1:8" x14ac:dyDescent="0.2">
      <c r="A5" s="3" t="s">
        <v>50</v>
      </c>
      <c r="B5" s="31">
        <v>13413</v>
      </c>
      <c r="D5" s="3" t="s">
        <v>35</v>
      </c>
      <c r="E5" s="31">
        <v>-3350.5999999999995</v>
      </c>
      <c r="G5" s="3" t="s">
        <v>35</v>
      </c>
      <c r="H5" s="31">
        <v>6249.4000000000005</v>
      </c>
    </row>
    <row r="6" spans="1:8" x14ac:dyDescent="0.2">
      <c r="A6" s="3" t="s">
        <v>16</v>
      </c>
      <c r="B6" s="31">
        <v>42964</v>
      </c>
      <c r="D6" s="3" t="s">
        <v>9</v>
      </c>
      <c r="E6" s="31">
        <v>343.31999999999994</v>
      </c>
      <c r="G6" s="3" t="s">
        <v>9</v>
      </c>
      <c r="H6" s="31">
        <v>1243.32</v>
      </c>
    </row>
    <row r="7" spans="1:8" x14ac:dyDescent="0.2">
      <c r="A7" s="3" t="s">
        <v>51</v>
      </c>
      <c r="B7" s="47">
        <v>65337.240000000005</v>
      </c>
      <c r="D7" s="3" t="s">
        <v>33</v>
      </c>
      <c r="E7" s="31">
        <v>930.69999999999982</v>
      </c>
      <c r="G7" s="3" t="s">
        <v>33</v>
      </c>
      <c r="H7" s="31">
        <v>1190.6999999999998</v>
      </c>
    </row>
    <row r="8" spans="1:8" x14ac:dyDescent="0.2">
      <c r="D8" s="3" t="s">
        <v>10</v>
      </c>
      <c r="E8" s="31">
        <v>441.29999999999995</v>
      </c>
      <c r="G8" s="3" t="s">
        <v>10</v>
      </c>
      <c r="H8" s="31">
        <v>1441.3</v>
      </c>
    </row>
    <row r="9" spans="1:8" x14ac:dyDescent="0.2">
      <c r="D9" s="3" t="s">
        <v>52</v>
      </c>
      <c r="E9" s="31">
        <v>8569</v>
      </c>
      <c r="G9" s="3" t="s">
        <v>52</v>
      </c>
      <c r="H9" s="31">
        <v>38569</v>
      </c>
    </row>
    <row r="10" spans="1:8" x14ac:dyDescent="0.2">
      <c r="D10" s="3" t="s">
        <v>51</v>
      </c>
      <c r="E10" s="47">
        <v>11697.240000000002</v>
      </c>
      <c r="G10" s="3" t="s">
        <v>51</v>
      </c>
      <c r="H10" s="47">
        <v>65337.240000000005</v>
      </c>
    </row>
    <row r="11" spans="1:8" x14ac:dyDescent="0.2">
      <c r="G11"/>
    </row>
    <row r="12" spans="1:8" x14ac:dyDescent="0.2">
      <c r="G12"/>
    </row>
    <row r="13" spans="1:8" x14ac:dyDescent="0.2">
      <c r="G13"/>
    </row>
    <row r="14" spans="1:8" x14ac:dyDescent="0.2">
      <c r="G14"/>
    </row>
    <row r="15" spans="1:8" x14ac:dyDescent="0.2">
      <c r="G15"/>
    </row>
    <row r="16" spans="1:8" x14ac:dyDescent="0.2">
      <c r="G16"/>
    </row>
    <row r="17" spans="7:7" x14ac:dyDescent="0.2">
      <c r="G17"/>
    </row>
    <row r="18" spans="7:7" x14ac:dyDescent="0.2">
      <c r="G18"/>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47DDF-1B85-8841-8CA6-04F593BE59C1}">
  <dimension ref="A1:O40"/>
  <sheetViews>
    <sheetView showGridLines="0" zoomScale="80" workbookViewId="0">
      <selection activeCell="E56" sqref="E56"/>
    </sheetView>
  </sheetViews>
  <sheetFormatPr baseColWidth="10" defaultRowHeight="16" x14ac:dyDescent="0.2"/>
  <cols>
    <col min="1" max="1" width="21" customWidth="1"/>
    <col min="3" max="3" width="20.5" customWidth="1"/>
    <col min="4" max="4" width="22.6640625" customWidth="1"/>
    <col min="5" max="5" width="16.83203125" customWidth="1"/>
    <col min="7" max="7" width="20.5" customWidth="1"/>
    <col min="8" max="8" width="17.1640625" customWidth="1"/>
    <col min="10" max="10" width="22.6640625" customWidth="1"/>
    <col min="13" max="13" width="20" customWidth="1"/>
  </cols>
  <sheetData>
    <row r="1" spans="1:15" ht="37" x14ac:dyDescent="0.45">
      <c r="A1" s="15" t="s">
        <v>31</v>
      </c>
      <c r="B1" s="14"/>
      <c r="C1" s="1"/>
      <c r="D1" s="16" t="s">
        <v>32</v>
      </c>
      <c r="E1" s="17">
        <f ca="1">TODAY()</f>
        <v>46145</v>
      </c>
      <c r="G1" s="16" t="s">
        <v>46</v>
      </c>
      <c r="H1" s="17">
        <f ca="1">MAX(Prices!$C$2:$C$100)</f>
        <v>46145</v>
      </c>
    </row>
    <row r="2" spans="1:15" x14ac:dyDescent="0.2">
      <c r="A2" s="4" t="s">
        <v>29</v>
      </c>
      <c r="B2" s="5"/>
      <c r="C2" s="6"/>
      <c r="D2" s="4" t="s">
        <v>30</v>
      </c>
      <c r="E2" s="5"/>
      <c r="F2" s="6"/>
      <c r="G2" s="4" t="s">
        <v>26</v>
      </c>
      <c r="H2" s="5"/>
      <c r="I2" s="6"/>
      <c r="J2" s="4" t="s">
        <v>43</v>
      </c>
      <c r="K2" s="5"/>
      <c r="L2" s="6"/>
      <c r="M2" s="4" t="s">
        <v>44</v>
      </c>
      <c r="N2" s="5"/>
      <c r="O2" s="6"/>
    </row>
    <row r="3" spans="1:15" ht="29" x14ac:dyDescent="0.35">
      <c r="A3" s="13">
        <f ca="1">SUM(Holdings!$D$2:$D$100)</f>
        <v>65337.240000000005</v>
      </c>
      <c r="B3" s="8"/>
      <c r="C3" s="9"/>
      <c r="D3" s="13">
        <f ca="1">SUM(Holdings!$K$2:$K$100)</f>
        <v>11697.24</v>
      </c>
      <c r="E3" s="8"/>
      <c r="F3" s="9"/>
      <c r="G3" s="18">
        <f ca="1">$D$3/SUM(Holdings!$F$2:F$100)</f>
        <v>0.21806935123042506</v>
      </c>
      <c r="H3" s="8"/>
      <c r="I3" s="9"/>
      <c r="J3" s="13">
        <f>SUM(Holdings!$I$2:$I$100)</f>
        <v>40</v>
      </c>
      <c r="K3" s="8"/>
      <c r="L3" s="9"/>
      <c r="M3" s="13">
        <f ca="1">SUM(Holdings!$J$2:$J$100)</f>
        <v>11657.24</v>
      </c>
      <c r="N3" s="8"/>
      <c r="O3" s="9"/>
    </row>
    <row r="4" spans="1:15" x14ac:dyDescent="0.2">
      <c r="A4" s="7"/>
      <c r="B4" s="8"/>
      <c r="C4" s="9"/>
      <c r="D4" s="7"/>
      <c r="E4" s="8"/>
      <c r="F4" s="9"/>
      <c r="G4" s="7"/>
      <c r="H4" s="8"/>
      <c r="I4" s="9"/>
      <c r="J4" s="7"/>
      <c r="K4" s="8"/>
      <c r="L4" s="9"/>
      <c r="M4" s="7"/>
      <c r="N4" s="8"/>
      <c r="O4" s="9"/>
    </row>
    <row r="5" spans="1:15" x14ac:dyDescent="0.2">
      <c r="A5" s="10"/>
      <c r="B5" s="11"/>
      <c r="C5" s="12"/>
      <c r="D5" s="10"/>
      <c r="E5" s="11"/>
      <c r="F5" s="12"/>
      <c r="G5" s="10"/>
      <c r="H5" s="11"/>
      <c r="I5" s="12"/>
      <c r="J5" s="10"/>
      <c r="K5" s="11"/>
      <c r="L5" s="12"/>
      <c r="M5" s="10"/>
      <c r="N5" s="11"/>
      <c r="O5" s="12"/>
    </row>
    <row r="22" spans="1:5" ht="22" x14ac:dyDescent="0.3">
      <c r="A22" s="46" t="s">
        <v>1</v>
      </c>
      <c r="B22" s="46" t="s">
        <v>3</v>
      </c>
      <c r="C22" s="46" t="s">
        <v>25</v>
      </c>
      <c r="D22" s="46" t="s">
        <v>30</v>
      </c>
      <c r="E22" s="46" t="s">
        <v>26</v>
      </c>
    </row>
    <row r="23" spans="1:5" x14ac:dyDescent="0.2">
      <c r="A23" t="str">
        <f>IF(Holdings!A2="","",Holdings!A2)</f>
        <v>AAPL</v>
      </c>
      <c r="B23">
        <f>Holdings!B2</f>
        <v>7</v>
      </c>
      <c r="C23" s="22">
        <f ca="1">Holdings!D2</f>
        <v>1960.98</v>
      </c>
      <c r="D23" s="23">
        <f ca="1">Holdings!K2</f>
        <v>680.98</v>
      </c>
      <c r="E23" s="20">
        <f ca="1">Holdings!L2</f>
        <v>0.53201562499999999</v>
      </c>
    </row>
    <row r="24" spans="1:5" x14ac:dyDescent="0.2">
      <c r="A24" t="str">
        <f>IF(Holdings!A3="","",Holdings!A3)</f>
        <v>MSFT</v>
      </c>
      <c r="B24">
        <f>Holdings!B3</f>
        <v>3</v>
      </c>
      <c r="C24" s="19">
        <f ca="1">Holdings!D3</f>
        <v>1243.32</v>
      </c>
      <c r="D24" s="19">
        <f ca="1">Holdings!K3</f>
        <v>343.31999999999994</v>
      </c>
      <c r="E24" s="20">
        <f ca="1">Holdings!L3</f>
        <v>0.38146666666666662</v>
      </c>
    </row>
    <row r="25" spans="1:5" x14ac:dyDescent="0.2">
      <c r="A25" t="str">
        <f>IF(Holdings!A4="","",Holdings!A4)</f>
        <v>SPY</v>
      </c>
      <c r="B25">
        <f>Holdings!B4</f>
        <v>2</v>
      </c>
      <c r="C25" s="19">
        <f ca="1">Holdings!D4</f>
        <v>1441.3</v>
      </c>
      <c r="D25" s="19">
        <f ca="1">Holdings!K4</f>
        <v>441.29999999999995</v>
      </c>
      <c r="E25" s="20">
        <f ca="1">Holdings!L4</f>
        <v>0.44129999999999997</v>
      </c>
    </row>
    <row r="26" spans="1:5" x14ac:dyDescent="0.2">
      <c r="A26" t="str">
        <f>IF(Holdings!A5="","",Holdings!A5)</f>
        <v>NVDA</v>
      </c>
      <c r="B26">
        <f>Holdings!B5</f>
        <v>6</v>
      </c>
      <c r="C26" s="19">
        <f ca="1">Holdings!D5</f>
        <v>1190.6999999999998</v>
      </c>
      <c r="D26" s="19">
        <f ca="1">Holdings!K5</f>
        <v>930.69999999999982</v>
      </c>
      <c r="E26" s="20">
        <f ca="1">Holdings!L5</f>
        <v>1.8613999999999997</v>
      </c>
    </row>
    <row r="27" spans="1:5" x14ac:dyDescent="0.2">
      <c r="A27" t="str">
        <f>IF(Holdings!A6="","",Holdings!A6)</f>
        <v>GLD</v>
      </c>
      <c r="B27">
        <f>Holdings!B6</f>
        <v>3</v>
      </c>
      <c r="C27" s="19">
        <f ca="1">Holdings!D6</f>
        <v>1269.54</v>
      </c>
      <c r="D27" s="19">
        <f ca="1">Holdings!K6</f>
        <v>669.54</v>
      </c>
      <c r="E27" s="20">
        <f ca="1">Holdings!L6</f>
        <v>1.1158999999999999</v>
      </c>
    </row>
    <row r="28" spans="1:5" x14ac:dyDescent="0.2">
      <c r="A28" t="str">
        <f>IF(Holdings!A7="","",Holdings!A7)</f>
        <v>JPM</v>
      </c>
      <c r="B28">
        <f>Holdings!B7</f>
        <v>20</v>
      </c>
      <c r="C28" s="19">
        <f ca="1">Holdings!D7</f>
        <v>6249.4000000000005</v>
      </c>
      <c r="D28" s="19">
        <f ca="1">Holdings!K7</f>
        <v>-3350.5999999999995</v>
      </c>
      <c r="E28" s="20">
        <f ca="1">Holdings!L7</f>
        <v>-0.34902083333333328</v>
      </c>
    </row>
    <row r="29" spans="1:5" x14ac:dyDescent="0.2">
      <c r="A29" t="str">
        <f>IF(Holdings!A8="","",Holdings!A8)</f>
        <v>AMZN</v>
      </c>
      <c r="B29">
        <f>IF(Holdings!B8="","",Holdings!B8)</f>
        <v>50</v>
      </c>
      <c r="C29" s="19">
        <f ca="1">Holdings!D8</f>
        <v>13413</v>
      </c>
      <c r="D29" s="19">
        <f ca="1">Holdings!K8</f>
        <v>3413</v>
      </c>
      <c r="E29" s="20">
        <f ca="1">Holdings!L8</f>
        <v>0.34129999999999999</v>
      </c>
    </row>
    <row r="30" spans="1:5" x14ac:dyDescent="0.2">
      <c r="A30" t="str">
        <f>IF(Holdings!A9="","",Holdings!A9)</f>
        <v>GOOGL</v>
      </c>
      <c r="B30">
        <f>Holdings!B9</f>
        <v>100</v>
      </c>
      <c r="C30" s="19">
        <f ca="1">Holdings!D9</f>
        <v>38569</v>
      </c>
      <c r="D30" s="19">
        <f ca="1">Holdings!K9</f>
        <v>8569</v>
      </c>
      <c r="E30" s="20">
        <f ca="1">Holdings!L9</f>
        <v>0.28563333333333335</v>
      </c>
    </row>
    <row r="31" spans="1:5" x14ac:dyDescent="0.2">
      <c r="A31" t="str">
        <f>IF(Holdings!A10="","",Holdings!A10)</f>
        <v/>
      </c>
      <c r="B31" t="str">
        <f>Holdings!B10</f>
        <v/>
      </c>
      <c r="C31" s="19" t="str">
        <f>Holdings!D10</f>
        <v/>
      </c>
      <c r="D31" s="19" t="str">
        <f>Holdings!K10</f>
        <v/>
      </c>
      <c r="E31" s="20" t="str">
        <f>Holdings!L10</f>
        <v/>
      </c>
    </row>
    <row r="32" spans="1:5" x14ac:dyDescent="0.2">
      <c r="A32" t="str">
        <f>IF(Holdings!A11="","",Holdings!A11)</f>
        <v/>
      </c>
      <c r="B32" t="str">
        <f>Holdings!B11</f>
        <v/>
      </c>
      <c r="C32" s="19" t="str">
        <f>Holdings!D11</f>
        <v/>
      </c>
      <c r="D32" s="19" t="str">
        <f>Holdings!K11</f>
        <v/>
      </c>
      <c r="E32" s="20" t="str">
        <f>Holdings!L11</f>
        <v/>
      </c>
    </row>
    <row r="33" spans="1:5" x14ac:dyDescent="0.2">
      <c r="A33" t="str">
        <f>IF(Holdings!A12="","",Holdings!A12)</f>
        <v/>
      </c>
      <c r="B33" t="str">
        <f>Holdings!B12</f>
        <v/>
      </c>
      <c r="C33" s="19" t="str">
        <f>Holdings!D12</f>
        <v/>
      </c>
      <c r="D33" s="19" t="str">
        <f>Holdings!K12</f>
        <v/>
      </c>
      <c r="E33" s="20" t="str">
        <f>Holdings!L12</f>
        <v/>
      </c>
    </row>
    <row r="34" spans="1:5" x14ac:dyDescent="0.2">
      <c r="A34" t="str">
        <f>IF(Holdings!A13="","",Holdings!A13)</f>
        <v/>
      </c>
      <c r="B34" t="str">
        <f>Holdings!B13</f>
        <v/>
      </c>
      <c r="C34" s="19" t="str">
        <f>Holdings!D13</f>
        <v/>
      </c>
      <c r="D34" s="19" t="str">
        <f>Holdings!K13</f>
        <v/>
      </c>
      <c r="E34" s="20" t="str">
        <f>Holdings!L13</f>
        <v/>
      </c>
    </row>
    <row r="35" spans="1:5" x14ac:dyDescent="0.2">
      <c r="A35" t="str">
        <f>IF(Holdings!A14="","",Holdings!A14)</f>
        <v/>
      </c>
      <c r="B35" t="str">
        <f>Holdings!B14</f>
        <v/>
      </c>
      <c r="C35" s="19" t="str">
        <f>Holdings!D14</f>
        <v/>
      </c>
      <c r="D35" s="19" t="str">
        <f>Holdings!K14</f>
        <v/>
      </c>
      <c r="E35" s="20" t="str">
        <f>Holdings!L14</f>
        <v/>
      </c>
    </row>
    <row r="36" spans="1:5" x14ac:dyDescent="0.2">
      <c r="A36" t="str">
        <f>IF(Holdings!A15="","",Holdings!A15)</f>
        <v/>
      </c>
      <c r="B36" t="str">
        <f>Holdings!B15</f>
        <v/>
      </c>
      <c r="C36" s="19" t="str">
        <f>Holdings!D15</f>
        <v/>
      </c>
      <c r="D36" s="19" t="str">
        <f>Holdings!K15</f>
        <v/>
      </c>
      <c r="E36" s="20" t="str">
        <f>Holdings!L15</f>
        <v/>
      </c>
    </row>
    <row r="37" spans="1:5" x14ac:dyDescent="0.2">
      <c r="A37" t="str">
        <f>IF(Holdings!A16="","",Holdings!A16)</f>
        <v/>
      </c>
      <c r="B37" t="str">
        <f>Holdings!B16</f>
        <v/>
      </c>
      <c r="C37" s="19" t="str">
        <f>Holdings!D16</f>
        <v/>
      </c>
      <c r="D37" s="19" t="str">
        <f>Holdings!K16</f>
        <v/>
      </c>
      <c r="E37" s="20" t="str">
        <f>Holdings!L16</f>
        <v/>
      </c>
    </row>
    <row r="38" spans="1:5" x14ac:dyDescent="0.2">
      <c r="A38" t="str">
        <f>IF(Holdings!A17="","",Holdings!A17)</f>
        <v/>
      </c>
      <c r="B38" t="str">
        <f>Holdings!B17</f>
        <v/>
      </c>
      <c r="C38" s="19" t="str">
        <f>Holdings!D17</f>
        <v/>
      </c>
      <c r="D38" s="19" t="str">
        <f>Holdings!K17</f>
        <v/>
      </c>
      <c r="E38" s="20" t="str">
        <f>Holdings!L17</f>
        <v/>
      </c>
    </row>
    <row r="39" spans="1:5" x14ac:dyDescent="0.2">
      <c r="A39" t="str">
        <f>IF(Holdings!A18="","",Holdings!A18)</f>
        <v/>
      </c>
      <c r="B39" t="str">
        <f>Holdings!B18</f>
        <v/>
      </c>
      <c r="C39" s="19" t="str">
        <f>Holdings!D18</f>
        <v/>
      </c>
      <c r="D39" s="19" t="str">
        <f>Holdings!K18</f>
        <v/>
      </c>
      <c r="E39" s="20" t="str">
        <f>Holdings!L18</f>
        <v/>
      </c>
    </row>
    <row r="40" spans="1:5" x14ac:dyDescent="0.2">
      <c r="A40" t="str">
        <f>IF(Holdings!A19="","",Holdings!A19)</f>
        <v/>
      </c>
      <c r="B40" t="str">
        <f>Holdings!B19</f>
        <v/>
      </c>
      <c r="C40" s="19" t="str">
        <f>Holdings!D19</f>
        <v/>
      </c>
      <c r="D40" s="19" t="str">
        <f>Holdings!K19</f>
        <v/>
      </c>
      <c r="E40" s="20" t="str">
        <f>Holdings!L19</f>
        <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8</vt:i4>
      </vt:variant>
    </vt:vector>
  </HeadingPairs>
  <TitlesOfParts>
    <vt:vector size="8" baseType="lpstr">
      <vt:lpstr>Transactions</vt:lpstr>
      <vt:lpstr>Asset_Info</vt:lpstr>
      <vt:lpstr>Prices</vt:lpstr>
      <vt:lpstr>Stock_Data</vt:lpstr>
      <vt:lpstr>Holdings</vt:lpstr>
      <vt:lpstr>Checks</vt:lpstr>
      <vt:lpstr>Pivot_Summary</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Logan, Ryan</dc:creator>
  <cp:lastModifiedBy>Ryan Logan</cp:lastModifiedBy>
  <dcterms:created xsi:type="dcterms:W3CDTF">2026-04-24T01:36:42Z</dcterms:created>
  <dcterms:modified xsi:type="dcterms:W3CDTF">2026-05-03T22:09:54Z</dcterms:modified>
</cp:coreProperties>
</file>